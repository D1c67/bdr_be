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3electrical-my.sharepoint.com/personal/shares_g3electrical_com/Documents/G3 Electrical Shared Files/Clients/2025/BIDDING/25.12.6954 - Wynn EDR (Employee Dining Room)/Chand/"/>
    </mc:Choice>
  </mc:AlternateContent>
  <xr:revisionPtr revIDLastSave="0" documentId="8_{22FDF41B-746F-4BF0-8641-85456546217F}" xr6:coauthVersionLast="47" xr6:coauthVersionMax="47" xr10:uidLastSave="{00000000-0000-0000-0000-000000000000}"/>
  <bookViews>
    <workbookView xWindow="-120" yWindow="-120" windowWidth="29040" windowHeight="15840" xr2:uid="{C76ACC08-E6A7-4037-8986-2D98779FC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0" i="1" l="1"/>
  <c r="A19" i="1"/>
  <c r="A8" i="1"/>
  <c r="A16" i="1"/>
  <c r="A12" i="1"/>
  <c r="A14" i="1"/>
  <c r="A7" i="1"/>
  <c r="A11" i="1"/>
  <c r="A9" i="1"/>
  <c r="A18" i="1"/>
  <c r="A15" i="1"/>
  <c r="A17" i="1"/>
  <c r="A6" i="1"/>
  <c r="A2" i="1"/>
  <c r="A3" i="1"/>
  <c r="A4" i="1"/>
  <c r="A5" i="1"/>
  <c r="A13" i="1"/>
</calcChain>
</file>

<file path=xl/sharedStrings.xml><?xml version="1.0" encoding="utf-8"?>
<sst xmlns="http://schemas.openxmlformats.org/spreadsheetml/2006/main" count="37" uniqueCount="21">
  <si>
    <t>LIGHTING FIXTURES</t>
  </si>
  <si>
    <t>A, BOH 2'X4' LED FLAT PANEL, METALUX - 24GTX-65HE-L830</t>
  </si>
  <si>
    <t>EA</t>
  </si>
  <si>
    <t>A-EM, BOH 2'X4' LED FLAT PANEL EMERGENCY, METALUX - 24GTX-65HE-L830</t>
  </si>
  <si>
    <t>A1, 2.5" ROUND APERTURE RECESSED ADJUSTABLE DOWNLIGHT, 40 DEGREE BEAM, 15</t>
  </si>
  <si>
    <t>A1-EM, 2.5" ROUND APERTURE RECESSED ADJUSTABLE DOWNLIGHT, 40 DEGREE BEAM EMERGENCY, 15</t>
  </si>
  <si>
    <t>A2, 2.5" ROUND APERTURE RECESSED ADJUSTABLE DOWNLIGHT, 25 DEGREE BEAM, 15</t>
  </si>
  <si>
    <t>A2-EM, 2.5" ROUND APERTURE RECESSED ADJUSTABLE DOWNLIGHT, 25 DEGREE BEAM EMERGENCY, 15</t>
  </si>
  <si>
    <t>A3, 2.5" ROUND APERTURE RECESSED ADJUSTABLE DOWNLIGHT, 40 DEGREE BEAM, 21</t>
  </si>
  <si>
    <t>A4, 2.5" ROUND APERTURE RECESSED ADJUSTABLE DOWNLIGHT, 15 DEGREE BEAM, 11</t>
  </si>
  <si>
    <t>A5-EM, 2" ROUND APERTURE RECESSED WALL WASH EMERGENCY, 21</t>
  </si>
  <si>
    <t>B, BOH 2'X2' LED FLAT PANEL, METALUX - 22GTX-60HE-L830</t>
  </si>
  <si>
    <t>LX.700, COLOR TUNING, SILICONE, FLEXIBLE LED, POWER SUPPLIES AND ACCESSORIES, 3.7W/FT</t>
  </si>
  <si>
    <t>FT</t>
  </si>
  <si>
    <t>LX-721, LINEAR LED TAPE LIGHT WITH CHANNEL, POWER SUPPLIES AND ACCESSORIES, 4.5W/FT</t>
  </si>
  <si>
    <t>LX-738, COLOR TUNING LED LIGHT PANEL, 5W/FT</t>
  </si>
  <si>
    <t>XA, FOH STYLE SELF-LUMINOUS EXIT SIGN, GREEN FACE - CEILING MOUNT, SIGNTEX - EMP 20-G-B</t>
  </si>
  <si>
    <t>DECORATIVE PENDANTS</t>
  </si>
  <si>
    <t>DECORATIVE SCONCES</t>
  </si>
  <si>
    <t>FURNITURE MOUNTED SCONCES</t>
  </si>
  <si>
    <t>LED LIGHT FIXTURE METALUX #4SNLED-LD5-LC-UNV-CD-1-U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</si>
</sst>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name val="Arial"/>
      <charset val="134"/>
    </font>
    <font>
      <b/>
      <sz val="12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1" fontId="2" fillId="3" borderId="2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te 2" xfId="1" xr:uid="{D49B84A8-681D-448D-B739-25CE2ABFD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C9B9-AC51-42FD-913D-C15BF2C70EBE}">
  <dimension ref="A1:D19"/>
  <sheetViews>
    <sheetView tabSelected="1" workbookViewId="0">
      <selection activeCell="G4" sqref="G4"/>
    </sheetView>
  </sheetViews>
  <sheetFormatPr defaultRowHeight="15"/>
  <cols>
    <col min="2" max="2" width="95.5703125" customWidth="1"/>
  </cols>
  <sheetData>
    <row r="1" spans="1:4">
      <c r="A1" s="1" t="str">
        <f>IF(C1&lt;&gt;"",1+MAX(#REF!),"")</f>
        <v/>
      </c>
      <c r="B1" s="2" t="s">
        <v>0</v>
      </c>
      <c r="C1" s="3"/>
      <c r="D1" s="4"/>
    </row>
    <row r="2" spans="1:4">
      <c r="A2" s="1">
        <f ca="1">IF(C2&lt;&gt;"",1+MAX(A1:A$5),"")</f>
        <v>51</v>
      </c>
      <c r="B2" s="5" t="s">
        <v>1</v>
      </c>
      <c r="C2" s="3">
        <v>56</v>
      </c>
      <c r="D2" s="6" t="s">
        <v>2</v>
      </c>
    </row>
    <row r="3" spans="1:4">
      <c r="A3" s="1">
        <f ca="1">IF(C3&lt;&gt;"",1+MAX(A2:A$5),"")</f>
        <v>52</v>
      </c>
      <c r="B3" s="5" t="s">
        <v>3</v>
      </c>
      <c r="C3" s="3">
        <v>15</v>
      </c>
      <c r="D3" s="6" t="s">
        <v>2</v>
      </c>
    </row>
    <row r="4" spans="1:4">
      <c r="A4" s="1">
        <f ca="1">IF(C4&lt;&gt;"",1+MAX(A3:A$5),"")</f>
        <v>53</v>
      </c>
      <c r="B4" s="5" t="s">
        <v>4</v>
      </c>
      <c r="C4" s="3">
        <v>90</v>
      </c>
      <c r="D4" s="6" t="s">
        <v>2</v>
      </c>
    </row>
    <row r="5" spans="1:4" ht="27">
      <c r="A5" s="1">
        <f ca="1">IF(C5&lt;&gt;"",1+MAX(A4:A$5),"")</f>
        <v>54</v>
      </c>
      <c r="B5" s="5" t="s">
        <v>5</v>
      </c>
      <c r="C5" s="3">
        <v>87</v>
      </c>
      <c r="D5" s="6" t="s">
        <v>2</v>
      </c>
    </row>
    <row r="6" spans="1:4">
      <c r="A6" s="1">
        <f ca="1">IF(C6&lt;&gt;"",1+MAX(A$5:A5),"")</f>
        <v>55</v>
      </c>
      <c r="B6" s="5" t="s">
        <v>6</v>
      </c>
      <c r="C6" s="3">
        <v>209</v>
      </c>
      <c r="D6" s="6" t="s">
        <v>2</v>
      </c>
    </row>
    <row r="7" spans="1:4" ht="27">
      <c r="A7" s="1">
        <f ca="1">IF(C7&lt;&gt;"",1+MAX(A$5:A6),"")</f>
        <v>56</v>
      </c>
      <c r="B7" s="5" t="s">
        <v>7</v>
      </c>
      <c r="C7" s="3">
        <v>75</v>
      </c>
      <c r="D7" s="6" t="s">
        <v>2</v>
      </c>
    </row>
    <row r="8" spans="1:4">
      <c r="A8" s="1">
        <f ca="1">IF(C8&lt;&gt;"",1+MAX(A$5:A7),"")</f>
        <v>57</v>
      </c>
      <c r="B8" s="5" t="s">
        <v>8</v>
      </c>
      <c r="C8" s="3">
        <v>9</v>
      </c>
      <c r="D8" s="6" t="s">
        <v>2</v>
      </c>
    </row>
    <row r="9" spans="1:4">
      <c r="A9" s="1">
        <f ca="1">IF(C9&lt;&gt;"",1+MAX(A$5:A8),"")</f>
        <v>58</v>
      </c>
      <c r="B9" s="5" t="s">
        <v>9</v>
      </c>
      <c r="C9" s="3">
        <v>6</v>
      </c>
      <c r="D9" s="6" t="s">
        <v>2</v>
      </c>
    </row>
    <row r="10" spans="1:4">
      <c r="A10" s="1">
        <f ca="1">IF(C10&lt;&gt;"",1+MAX(A$5:A9),"")</f>
        <v>59</v>
      </c>
      <c r="B10" s="5" t="s">
        <v>10</v>
      </c>
      <c r="C10" s="3">
        <v>9</v>
      </c>
      <c r="D10" s="6" t="s">
        <v>2</v>
      </c>
    </row>
    <row r="11" spans="1:4">
      <c r="A11" s="1">
        <f ca="1">IF(C11&lt;&gt;"",1+MAX(A$5:A10),"")</f>
        <v>60</v>
      </c>
      <c r="B11" s="5" t="s">
        <v>11</v>
      </c>
      <c r="C11" s="3">
        <v>3</v>
      </c>
      <c r="D11" s="6" t="s">
        <v>2</v>
      </c>
    </row>
    <row r="12" spans="1:4" ht="27">
      <c r="A12" s="1">
        <f ca="1">IF(C12&lt;&gt;"",1+MAX(A$5:A11),"")</f>
        <v>61</v>
      </c>
      <c r="B12" s="5" t="s">
        <v>12</v>
      </c>
      <c r="C12" s="3">
        <v>1340.2</v>
      </c>
      <c r="D12" s="6" t="s">
        <v>13</v>
      </c>
    </row>
    <row r="13" spans="1:4" ht="27">
      <c r="A13" s="1">
        <f ca="1">IF(C13&lt;&gt;"",1+MAX(A$5:A12),"")</f>
        <v>62</v>
      </c>
      <c r="B13" s="5" t="s">
        <v>14</v>
      </c>
      <c r="C13" s="3">
        <v>3622.94</v>
      </c>
      <c r="D13" s="6" t="s">
        <v>13</v>
      </c>
    </row>
    <row r="14" spans="1:4">
      <c r="A14" s="1">
        <f ca="1">IF(C14&lt;&gt;"",1+MAX(A$5:A13),"")</f>
        <v>63</v>
      </c>
      <c r="B14" s="5" t="s">
        <v>15</v>
      </c>
      <c r="C14" s="3">
        <v>58.94</v>
      </c>
      <c r="D14" s="6" t="s">
        <v>13</v>
      </c>
    </row>
    <row r="15" spans="1:4" ht="27">
      <c r="A15" s="1">
        <f ca="1">IF(C15&lt;&gt;"",1+MAX(A$5:A14),"")</f>
        <v>64</v>
      </c>
      <c r="B15" s="5" t="s">
        <v>16</v>
      </c>
      <c r="C15" s="3">
        <v>8</v>
      </c>
      <c r="D15" s="6" t="s">
        <v>2</v>
      </c>
    </row>
    <row r="16" spans="1:4">
      <c r="A16" s="1">
        <f ca="1">IF(C16&lt;&gt;"",1+MAX(A$5:A15),"")</f>
        <v>65</v>
      </c>
      <c r="B16" s="5" t="s">
        <v>17</v>
      </c>
      <c r="C16" s="3">
        <v>12</v>
      </c>
      <c r="D16" s="6" t="s">
        <v>2</v>
      </c>
    </row>
    <row r="17" spans="1:4">
      <c r="A17" s="1">
        <f ca="1">IF(C17&lt;&gt;"",1+MAX(A$5:A16),"")</f>
        <v>66</v>
      </c>
      <c r="B17" s="5" t="s">
        <v>18</v>
      </c>
      <c r="C17" s="3">
        <v>43</v>
      </c>
      <c r="D17" s="6" t="s">
        <v>2</v>
      </c>
    </row>
    <row r="18" spans="1:4">
      <c r="A18" s="1">
        <f ca="1">IF(C18&lt;&gt;"",1+MAX(A$5:A17),"")</f>
        <v>67</v>
      </c>
      <c r="B18" s="5" t="s">
        <v>19</v>
      </c>
      <c r="C18" s="3">
        <v>78</v>
      </c>
      <c r="D18" s="6" t="s">
        <v>2</v>
      </c>
    </row>
    <row r="19" spans="1:4">
      <c r="A19" s="1">
        <f ca="1">IF(C19&lt;&gt;"",1+MAX(A$5:A18),"")</f>
        <v>68</v>
      </c>
      <c r="B19" s="5" t="s">
        <v>20</v>
      </c>
      <c r="C19" s="3">
        <v>2</v>
      </c>
      <c r="D19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Moore Jr.</dc:creator>
  <cp:lastModifiedBy>Thomas Moore Jr.</cp:lastModifiedBy>
  <dcterms:created xsi:type="dcterms:W3CDTF">2025-12-29T16:21:33Z</dcterms:created>
  <dcterms:modified xsi:type="dcterms:W3CDTF">2025-12-29T16:22:12Z</dcterms:modified>
</cp:coreProperties>
</file>
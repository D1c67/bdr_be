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0677463f254bdc3/AAA/Estimating/Personal Clients/Thomas-Tiesha_G3 Electrical/260306/26.4.7004 - Showcase Atrium III/Final/"/>
    </mc:Choice>
  </mc:AlternateContent>
  <xr:revisionPtr revIDLastSave="92" documentId="11_C6D2FF810B55C23CC22529E52683B0FDCA458AB4" xr6:coauthVersionLast="47" xr6:coauthVersionMax="47" xr10:uidLastSave="{0E6AE86C-C16B-49D0-8487-4C8D99D9897C}"/>
  <bookViews>
    <workbookView xWindow="-23148" yWindow="-108" windowWidth="23256" windowHeight="12456" tabRatio="662" firstSheet="2" activeTab="2" xr2:uid="{00000000-000D-0000-FFFF-FFFF00000000}"/>
  </bookViews>
  <sheets>
    <sheet name="Chart1" sheetId="14" state="hidden" r:id="rId1"/>
    <sheet name="Sheet1" sheetId="15" state="hidden" r:id="rId2"/>
    <sheet name="SHEET" sheetId="18" r:id="rId3"/>
  </sheets>
  <definedNames>
    <definedName name="_xlnm._FilterDatabase" localSheetId="2" hidden="1">SHEET!$B$1:$D$224</definedName>
    <definedName name="_xlnm.Print_Area" localSheetId="2">SHEET!$A$1:$E$224</definedName>
    <definedName name="Total" localSheetId="2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4" i="18" l="1"/>
  <c r="A223" i="18"/>
  <c r="A209" i="18"/>
  <c r="A208" i="18"/>
  <c r="A205" i="18"/>
  <c r="A204" i="18"/>
  <c r="A197" i="18"/>
  <c r="A196" i="18"/>
  <c r="A182" i="18"/>
  <c r="A181" i="18"/>
  <c r="A175" i="18"/>
  <c r="A174" i="18"/>
  <c r="A169" i="18"/>
  <c r="A168" i="18"/>
  <c r="A167" i="18"/>
  <c r="A149" i="18"/>
  <c r="A148" i="18"/>
  <c r="A134" i="18"/>
  <c r="A133" i="18"/>
  <c r="A129" i="18"/>
  <c r="A128" i="18"/>
  <c r="A119" i="18"/>
  <c r="A118" i="18"/>
  <c r="A110" i="18"/>
  <c r="A109" i="18"/>
  <c r="A107" i="18"/>
  <c r="A106" i="18"/>
  <c r="A38" i="18"/>
  <c r="A37" i="18"/>
  <c r="A23" i="18"/>
  <c r="A22" i="18"/>
  <c r="A21" i="18"/>
  <c r="A20" i="18"/>
  <c r="A5" i="18"/>
  <c r="A6" i="18" l="1"/>
  <c r="A7" i="18" s="1"/>
  <c r="A8" i="18" l="1"/>
  <c r="A9" i="18" l="1"/>
  <c r="A10" i="18" s="1"/>
  <c r="A11" i="18" l="1"/>
  <c r="A12" i="18" l="1"/>
  <c r="A13" i="18" l="1"/>
  <c r="A14" i="18" l="1"/>
  <c r="A15" i="18" l="1"/>
  <c r="A16" i="18" l="1"/>
  <c r="A17" i="18" s="1"/>
  <c r="A18" i="18" s="1"/>
  <c r="A19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9" i="18" s="1"/>
  <c r="A44" i="18" s="1"/>
  <c r="A48" i="18" s="1"/>
  <c r="A52" i="18" s="1"/>
  <c r="A57" i="18" s="1"/>
  <c r="A61" i="18" s="1"/>
  <c r="A66" i="18" s="1"/>
  <c r="A70" i="18" s="1"/>
  <c r="A74" i="18" s="1"/>
  <c r="A78" i="18" s="1"/>
  <c r="A82" i="18" l="1"/>
  <c r="A86" i="18" l="1"/>
  <c r="A90" i="18" s="1"/>
  <c r="A94" i="18" s="1"/>
  <c r="A98" i="18" s="1"/>
  <c r="A108" i="18" s="1"/>
  <c r="A111" i="18" s="1"/>
  <c r="A112" i="18" s="1"/>
  <c r="A113" i="18" s="1"/>
  <c r="A114" i="18" s="1"/>
  <c r="A115" i="18" s="1"/>
  <c r="A116" i="18" s="1"/>
  <c r="A117" i="18" s="1"/>
  <c r="A120" i="18" s="1"/>
  <c r="A121" i="18" s="1"/>
  <c r="A122" i="18" s="1"/>
  <c r="A123" i="18" s="1"/>
  <c r="A124" i="18" s="1"/>
  <c r="A125" i="18" s="1"/>
  <c r="A126" i="18" s="1"/>
  <c r="A127" i="18" s="1"/>
  <c r="A130" i="18" s="1"/>
  <c r="A131" i="18" s="1"/>
  <c r="A132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70" i="18" s="1"/>
  <c r="A171" i="18" s="1"/>
  <c r="A172" i="18" s="1"/>
  <c r="A173" i="18" s="1"/>
  <c r="A176" i="18" s="1"/>
  <c r="A177" i="18" s="1"/>
  <c r="A178" i="18" s="1"/>
  <c r="A179" i="18" s="1"/>
  <c r="A180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8" i="18" s="1"/>
  <c r="A199" i="18" s="1"/>
  <c r="A200" i="18" s="1"/>
  <c r="A201" i="18" s="1"/>
  <c r="A202" i="18" s="1"/>
  <c r="A203" i="18" s="1"/>
  <c r="A206" i="18" s="1"/>
  <c r="A207" i="18" s="1"/>
  <c r="A210" i="18" s="1"/>
  <c r="A214" i="18" s="1"/>
  <c r="A222" i="18" s="1"/>
</calcChain>
</file>

<file path=xl/sharedStrings.xml><?xml version="1.0" encoding="utf-8"?>
<sst xmlns="http://schemas.openxmlformats.org/spreadsheetml/2006/main" count="393" uniqueCount="202">
  <si>
    <t>SR.
NO.</t>
  </si>
  <si>
    <t>DESCRIPTION</t>
  </si>
  <si>
    <t>QUANTITY</t>
  </si>
  <si>
    <t>UNIT</t>
  </si>
  <si>
    <t>DEMOLITION</t>
  </si>
  <si>
    <t>REMOVAL OF ALL ELETRICAL DEVICES, LIGHTING FIXTURES FROM EXISTING BASEMENT ENTRANCE TO MARSHALL'S, W/ ALL ASSOCIATED WIRING &amp; CONDUIT BACK TO SOURCE. (RELOCATION OF ELECTRICAL DISTRIBUTION EQUIPMENT AS REQUIRED IN THIS AREA)</t>
  </si>
  <si>
    <t>SQ FT</t>
  </si>
  <si>
    <t>REMOVAL OF ALL EXISTING ELECTRICAL DEVICES, LIGHTING FIXTURES, LIGHTING CONTROLS, LOW VOLTAGE &amp; FIRE ALARM DEVICES W/ ALL ASSOCIATED WIRING &amp; CONDUIT BACK TO THE NEXT ACTIVE POINT OUTSIDE THIS AREA.</t>
  </si>
  <si>
    <t>REMOVAL OF ALL LIGHTING FIXTURES, LIGHTING CONTROLS, W/ ALL ASSCOCIATED WIRING &amp; CONDUIT TOR NEAREST POINT OF ACTIVE SOURCE. _x000D_
AND RELOCATION OF EISTING POWER DEVICES TO NEW WALLS (EXISTING CIRCUITRY TO REMIAN)</t>
  </si>
  <si>
    <t>REPAIR OR REPLACE EXISTING LIGHTING FIXTURES, LIGHTING CONTROLS IN THIS AREA. (IF IT'S IN GOOD CONDITION THEN EXISTING TO REMAIN)</t>
  </si>
  <si>
    <t>DISCONNECTION &amp; RECONNECTION OF WATER HEATER, W/ ITS DISCONNECT AND ALL ASSOCIATED WIRING TO NEW LOCATION.</t>
  </si>
  <si>
    <t>EA</t>
  </si>
  <si>
    <t>DISCONNECTION OF EXISTING ELEVATOR AND REMOVAL OF ALL ELECTRICAL DEVICES/EQUIPMENT OF ELEVATOR PIT UPTO LEVEL 1. (EXITING CIRCUITRY TO REMAIN FOR EXTENSION TO NEW DEVICES)</t>
  </si>
  <si>
    <t>DISCONNECTION OF EXISTING MECHANICAL AIR HANDLING UNIT (AHU) W/ IT'S ELECTRICAL CONNECTION, DISCONNECT, W/ ALL ASSOCIATED CONDUCTOR BACK TO THE NEAREST ACTIVE POINT OF SOURCE (CONDUIT TO REMAIN)</t>
  </si>
  <si>
    <t>EXISTING ESCALATOR AND ALL ASSOCIATED ELECTRICAL COMPONENTS (CONDUITS, CONDUCTORS, JUNCTION BOXES, DISCONNECTS ETC.) SHALL BE REMOVED BACK TO SOURCE.</t>
  </si>
  <si>
    <t>EXISTING ESCALATOR AND ALL ASSOCIATED ELECTRICAL COMPONENTS (CONDUITS, CONDUCTORS, JUNCTION BOXES, DISCONNECTS ETC.) SHALL BE REMOVED BACK TO SOURCE. (EXISTING CIRCUITRY TO REMAIN FOR RE-USE IF IS IN GOOD CONDITION OTHERWISE REMOVE ALL CIRCUITRY, FEEDER LENGTH APPROX. 100FT)</t>
  </si>
  <si>
    <t xml:space="preserve">EXISTING KIOSK TO BE TEMPORARILY DISCONNECTED. ASSOCIATED POWER TO BE DISCONNECTED AND PROTECTED DURING NEW PAVING AND RECONNECTED UPON COMPLETION. </t>
  </si>
  <si>
    <t>EXISTING LIGHTING CONTROL PANEL TO BE REMOVED W/ ALL ASSOCIATED WIRING &amp; CONDUIT BACK TO SOURCE.</t>
  </si>
  <si>
    <t>RELOCATION OF PANEL "L1A": 225A MLO, 120/208V, 3PH  4W, 42 POLES, SURFACE MOUNTED, NEMA 1 ENCLOSURE W/ ALL ASSOCIATED CIRCUIT BREAKERS.</t>
  </si>
  <si>
    <t>RELOCATION OF PANEL "L2A": 225A MLO, 120/208V, 3PH  4W, 42 POLES, SURFACE MOUNTED, NEMA 1 ENCLOSURE W/ ALL ASSOCIATED CIRCUIT BREAKERS (RATING ASSUMED)</t>
  </si>
  <si>
    <t>REMOVAL OF 100A/3P CIRCUIT BREAKER (FROM EXISTING SWITCHBOARD)</t>
  </si>
  <si>
    <t>NEW WORK</t>
  </si>
  <si>
    <t>CONDUCTORS (AWG)</t>
  </si>
  <si>
    <t>#600 THHN/THWN</t>
  </si>
  <si>
    <t>FT</t>
  </si>
  <si>
    <t>#350 THHN/THWN</t>
  </si>
  <si>
    <t>#4/0 THHN/THWN</t>
  </si>
  <si>
    <t>#3/0 THHN/THWN</t>
  </si>
  <si>
    <t>#1/0 THHN/THWN</t>
  </si>
  <si>
    <t>#1 THHN/THWN</t>
  </si>
  <si>
    <t>#2 THHN/THWN</t>
  </si>
  <si>
    <t>#4 THHN/THWN</t>
  </si>
  <si>
    <t>#6 THHN/THWN</t>
  </si>
  <si>
    <t>#8 THHN/THWN</t>
  </si>
  <si>
    <t>#10 THHN/THWN</t>
  </si>
  <si>
    <t>#12 THHN/THWN</t>
  </si>
  <si>
    <t>0-10V DIMMING CABLE</t>
  </si>
  <si>
    <t>CONDUITS</t>
  </si>
  <si>
    <t>3-1/2"C PVC</t>
  </si>
  <si>
    <t>3-1/2"C RGS</t>
  </si>
  <si>
    <t>3"C EMT</t>
  </si>
  <si>
    <t>3"C PVC</t>
  </si>
  <si>
    <t>3"C RGS</t>
  </si>
  <si>
    <t>2-1/2"C PVC</t>
  </si>
  <si>
    <t>2-1/2"C RGS</t>
  </si>
  <si>
    <t>2"C EMT</t>
  </si>
  <si>
    <t>1-1/2"C EMT</t>
  </si>
  <si>
    <t>1-1/2"C RGS</t>
  </si>
  <si>
    <t>1-1/4"C EMT</t>
  </si>
  <si>
    <t>1-1/4"C RGS</t>
  </si>
  <si>
    <t>1"C EMT</t>
  </si>
  <si>
    <t>1"C RGS</t>
  </si>
  <si>
    <t>3/4"C EMT</t>
  </si>
  <si>
    <t>TRENCH</t>
  </si>
  <si>
    <t>EXCAVATION &amp; BACKFILLING (2' DEEP X 1' WIDE TRENCH) INCLUDING ALL LABOUR AND MATERIAL/EQUIPMENT. (ASSUMED)</t>
  </si>
  <si>
    <t>CU FT</t>
  </si>
  <si>
    <t>GROUNDING</t>
  </si>
  <si>
    <t>#3/0, BARE CU GROUNDING CONDUCTOR</t>
  </si>
  <si>
    <t>#4 CU GROUNDING CONDUCTOR</t>
  </si>
  <si>
    <t>#6 CU GROUNDING CONDUCTOR</t>
  </si>
  <si>
    <t>20', #3/0 CONCRETE ENCASED ELECTRODE</t>
  </si>
  <si>
    <t>#3/0 GROUNDING CLAMP</t>
  </si>
  <si>
    <t>3/4" X 10' CU GROUND ROD</t>
  </si>
  <si>
    <t>EXOTHERMIC WELD</t>
  </si>
  <si>
    <t>SWITCHGEAR</t>
  </si>
  <si>
    <t>DIST.BD. LDBS1: 1200A MCB, 480/277V, 3PH 4W, 65K AIC, EXTERIOR PYLON SURFACE MOUNTED, NEMA 3R ENCLOSURE W/ NEUTRAL &amp; GROUND BUS BAR</t>
  </si>
  <si>
    <t>MAIN SWITCHBOARD "MS6": 1200A MCB, 480/277V, 3PH 4W, 65K AIC, NEMA 1 ENCLOSURE W/ NEUTRAL &amp; GROUND BUS BAR &amp;_x000D_
(1) 1200AS/1200F/3P SERVICE DISCONNECT SWITCH (GFP TYPE)_x000D_
(1) 1200A/3P METER W/ METER SOCKET</t>
  </si>
  <si>
    <t xml:space="preserve">PANEL "ELA2": 150A MCB, 120/208V, 3PH 4W, 42 POLES, 10K AIC, SURFACE MOUNTED, NEMA 1 ENCLOSURE </t>
  </si>
  <si>
    <t>PANEL "LBP1": 100A/3P MCB, 120/208V, 3PH 4W, 12 POLES, 10K AIC RATING, SURFACE MOUNTED, NEMA 1 ENCLOSURE</t>
  </si>
  <si>
    <t>PANEL "LC 1-13": 200A MLO, 120/208V, 3PH 4W, 42 POLES (ASSUMED), 10K AIC RATING, EXTERIOR PYLON SURFACE MOUNTED, NEMA 3R ENCLOSURE</t>
  </si>
  <si>
    <t>PANEL "LELVBP1": 100A MLO, 120/208V, 3PH 4W, 12 POLES, 10K AIC RATING, SURFACE MOUNTED, NEMA 1 ENCLOSURE</t>
  </si>
  <si>
    <t>PANEL "LRMP1/LMPR1": 100A/3P MCB, 120/208V, 3PH 4W, 24 POLES, 10K AIC RATING, SURFACE MOUNTED, NEMA 3R ENCLOSURE</t>
  </si>
  <si>
    <t>SIST.PANEL "LDPS1/LDPS1: 1600A/3P MCB, 120/208V, 3PH 4W, 24 POLES, EXTERIOR PYLON SURFACE MOUNTED,  NEMA 3R ENCLOSURE</t>
  </si>
  <si>
    <t>EQUIPMENT</t>
  </si>
  <si>
    <t>T-ELA2: 45 KVA PAD MOUNTED TRANSFORMER, NEMA 1</t>
  </si>
  <si>
    <t>T-LBP1/T-LMPR1: 30KVA PAD MOUNTED TRANSFORMER, NEMA 3R</t>
  </si>
  <si>
    <t>TLDPS1,2: 500KVA PAD MOUNTED TRANSFORMER, NEMA 3R</t>
  </si>
  <si>
    <t>DISCONNECT SWITCHES</t>
  </si>
  <si>
    <r>
      <rPr>
        <sz val="11"/>
        <rFont val="Calibri"/>
        <charset val="134"/>
        <scheme val="minor"/>
      </rPr>
      <t xml:space="preserve">20A/2P DISCONNECT SWITCH, NEMA 1 </t>
    </r>
    <r>
      <rPr>
        <sz val="11"/>
        <color rgb="FFFF0000"/>
        <rFont val="Calibri"/>
        <charset val="134"/>
        <scheme val="minor"/>
      </rPr>
      <t>(ASSUMED FOR FCU)</t>
    </r>
  </si>
  <si>
    <t>30A/1P, 120V, DISCONNECT SWITCH, NEMA 1</t>
  </si>
  <si>
    <t>30A/2P, 208V, DISCONNECT SWITCH, NEMA 1</t>
  </si>
  <si>
    <t>30A/2P, 208V, DISCONNECT SWITCH, NEMA 3R</t>
  </si>
  <si>
    <t>30AS/10AF/3P, 480V, LOCKABLE FUSED DISCONNECT SWITCH, NEMA 3R</t>
  </si>
  <si>
    <t>60A/2P, 208V,  DISCONNECT SWITCH, NEMA 3R</t>
  </si>
  <si>
    <t>60A/3P, 208V,  DISCONNECT SWITCH, NEMA 3R</t>
  </si>
  <si>
    <t>60AS/35AF/3P, 480V, LOCKABLE FUSED DISCONNECT SWITCH, NEMA 1</t>
  </si>
  <si>
    <t>60AS/35AF/3P, 480V, LOCKABLE FUSED DISCONNECT SWITCH, NEMA 3R</t>
  </si>
  <si>
    <t>60AS/60AF/3P, 480V, FUSED DISCONNECT SWITCH, NEMA 1</t>
  </si>
  <si>
    <t>100A/3P LOCKABLE FUSED DISCONNECT SWITCH, NEMA 1</t>
  </si>
  <si>
    <t>100AS/80AF/3P, 480V, LOCKABLE FUSED DISCONNECT SWITCH, NEMA 1</t>
  </si>
  <si>
    <t>1600AS/1600AF/3P DISCONNECT SWITCH, NEMA 1</t>
  </si>
  <si>
    <t>CIRCUIT BREAKERS</t>
  </si>
  <si>
    <t>15A/1P CIRCUIT BREAKER</t>
  </si>
  <si>
    <t>15A/2P CIRCUIT BREAKER</t>
  </si>
  <si>
    <t>20A/1P CIRCUIT BREAKER</t>
  </si>
  <si>
    <t>20A/2P CIRCUIT BREAKER</t>
  </si>
  <si>
    <t>20AT/10AF/3P CIRCUIT BREAKER</t>
  </si>
  <si>
    <t>35A/2P CIRCUIT BREAKER</t>
  </si>
  <si>
    <t>35A/3P CIRCUIT BREAKER</t>
  </si>
  <si>
    <t>50A/3P CIRCUIT BREAKER</t>
  </si>
  <si>
    <t>60A/3P CIRCUIT BREAKER</t>
  </si>
  <si>
    <t>70A/3P CIRCUIT BREAKER</t>
  </si>
  <si>
    <t>80A/3P CIRCUIT BREAKER</t>
  </si>
  <si>
    <t>100A/3P MAIN CIRCUIT BREAKER</t>
  </si>
  <si>
    <t>150A/3P MAIN CIRCUIT BREAKER</t>
  </si>
  <si>
    <t>200AF/200AT/3P CIRCUIT BREAKER</t>
  </si>
  <si>
    <t>600AF/600AT/3P CIRCUIT BREAKER</t>
  </si>
  <si>
    <t>1200A/3P MAIN CIRCUIT BREAKER</t>
  </si>
  <si>
    <r>
      <rPr>
        <sz val="11"/>
        <rFont val="Calibri"/>
        <charset val="134"/>
        <scheme val="minor"/>
      </rPr>
      <t>1600A/3P MAIN CIRCUIT BREAKER</t>
    </r>
    <r>
      <rPr>
        <sz val="11"/>
        <color rgb="FFFF0000"/>
        <rFont val="Calibri"/>
        <charset val="134"/>
        <scheme val="minor"/>
      </rPr>
      <t xml:space="preserve"> (GFP TYPE)</t>
    </r>
  </si>
  <si>
    <t>OTHER ITEMS</t>
  </si>
  <si>
    <r>
      <rPr>
        <b/>
        <sz val="11"/>
        <rFont val="Calibri"/>
        <charset val="134"/>
        <scheme val="minor"/>
      </rPr>
      <t>RECEPTACLES</t>
    </r>
    <r>
      <rPr>
        <b/>
        <sz val="11"/>
        <color rgb="FFFFFF00"/>
        <rFont val="Calibri"/>
        <charset val="134"/>
        <scheme val="minor"/>
      </rPr>
      <t xml:space="preserve"> (RECEPTACLES INCLUDES 4"S DEEP COMB BOX AND COVER PLATE)</t>
    </r>
  </si>
  <si>
    <t>DUPLEX RECEPTACLE, 125V</t>
  </si>
  <si>
    <t>GFCI DUPLEX RECEPTACLE, 125V</t>
  </si>
  <si>
    <t>WP, GFCI DUPLEX RECEPTACLE</t>
  </si>
  <si>
    <t xml:space="preserve">PROVIDE NEW FACEPLATES AT ALL DEVICES WITHIN THIS AREA. EXISTING DEVICES INTENDED TO REMAIN SHALL BE REPLACED WITH THE SAME STYLE. </t>
  </si>
  <si>
    <t>SF</t>
  </si>
  <si>
    <t>MISCELLANEOUS</t>
  </si>
  <si>
    <r>
      <rPr>
        <sz val="11"/>
        <rFont val="Calibri"/>
        <charset val="134"/>
        <scheme val="minor"/>
      </rPr>
      <t xml:space="preserve">CONCRETE PAD </t>
    </r>
    <r>
      <rPr>
        <sz val="11"/>
        <color rgb="FFFF0000"/>
        <rFont val="Calibri"/>
        <charset val="134"/>
        <scheme val="minor"/>
      </rPr>
      <t>(FOR 30KVA TRANSFFORMER)</t>
    </r>
  </si>
  <si>
    <r>
      <rPr>
        <sz val="11"/>
        <rFont val="Calibri"/>
        <charset val="134"/>
        <scheme val="minor"/>
      </rPr>
      <t xml:space="preserve">CONCRETE PAD </t>
    </r>
    <r>
      <rPr>
        <sz val="11"/>
        <color rgb="FFFF0000"/>
        <rFont val="Calibri"/>
        <charset val="134"/>
        <scheme val="minor"/>
      </rPr>
      <t>(FOR 45KVA TRANSFFORMER)</t>
    </r>
  </si>
  <si>
    <r>
      <rPr>
        <sz val="11"/>
        <rFont val="Calibri"/>
        <charset val="134"/>
        <scheme val="minor"/>
      </rPr>
      <t xml:space="preserve">CONCRETE PAD </t>
    </r>
    <r>
      <rPr>
        <sz val="11"/>
        <color rgb="FFFF0000"/>
        <rFont val="Calibri"/>
        <charset val="134"/>
        <scheme val="minor"/>
      </rPr>
      <t>(FOR 500KVA TRANSFFORMER)</t>
    </r>
  </si>
  <si>
    <t>JUNCTION BOX</t>
  </si>
  <si>
    <t>WP, JUNCTION BOX</t>
  </si>
  <si>
    <t>LIGHTING FIXTURES</t>
  </si>
  <si>
    <r>
      <rPr>
        <sz val="11"/>
        <rFont val="Calibri"/>
        <charset val="134"/>
        <scheme val="minor"/>
      </rPr>
      <t xml:space="preserve">ELEVATOR CAB LIGHT </t>
    </r>
    <r>
      <rPr>
        <sz val="11"/>
        <color rgb="FFFF0000"/>
        <rFont val="Calibri"/>
        <charset val="134"/>
        <scheme val="minor"/>
      </rPr>
      <t>(PROVISION NOT CONFIRM)</t>
    </r>
  </si>
  <si>
    <t>G1: 2'X4' TROFFER, MATCH EXISTING IN AREA, LED, 0-10V</t>
  </si>
  <si>
    <t>G2: 2'X2' SUSPENDED TROFFER, HE WILLIAMS - BP-22-LS (4900LM)-8-CS (4000K)-DIM-UNV, LED, 0-10V</t>
  </si>
  <si>
    <t>L1: 4' LED INDUSTRIAL STRIP, H.E. WILLIAMS - 75R-4-L50-8-40-EM/10WLP-DIM-UNV, LED, 0-10V</t>
  </si>
  <si>
    <t>L2: PIT VAPORTIGHT LED STRIP, H.E. WILLIAMS - 96-2-L40-8-40-PCFR-EM6WC-DIM-UNV, LED, 0-10V</t>
  </si>
  <si>
    <t>L3: 2' LED INDUSTRIAL STRIP, H.E. WILLIAMS - 75R-2-L42-8-40-EM/10WLP-DIM-UNV, LED, 0-10V</t>
  </si>
  <si>
    <t>L11: 4" RECESSED DOWNLIGHT, LED, 0-10V</t>
  </si>
  <si>
    <t>L11E: 4" RECESSED DOWNLIGHT, LED, W/ EMERGENCY BATTERY PACK</t>
  </si>
  <si>
    <t>L12: 4" RECESSED DOWNLIGHT, LED, 0-10V</t>
  </si>
  <si>
    <t>L12E: 4" RECESSED DOWNLIGHT, W/ EMERGENCY BATTERY PACK , LED</t>
  </si>
  <si>
    <t>L40: 4' TROFFER, LED, 0-10V, 120V</t>
  </si>
  <si>
    <t>L40: 4' TROFFER, LED, W/ EMERGENCY BATTERY PACK, 120V</t>
  </si>
  <si>
    <t>X1: SINGLE-FACE EXIT SIGN, BARRON LIGHTING - ILX-RG-EM-WH, LED, EM</t>
  </si>
  <si>
    <t>LIGHTING CONTROLS</t>
  </si>
  <si>
    <t>CEILING MOUNTED OCCUPANCY SENSOR</t>
  </si>
  <si>
    <t>KEY- LOCKED OVERRIDE SWITCH W/ DIMMER</t>
  </si>
  <si>
    <r>
      <rPr>
        <sz val="11"/>
        <rFont val="Calibri"/>
        <charset val="134"/>
        <scheme val="minor"/>
      </rPr>
      <t xml:space="preserve">LCP-ML: LIGHTING CONTROLLER W/ TIME CLOCK </t>
    </r>
    <r>
      <rPr>
        <sz val="11"/>
        <color rgb="FFFF0000"/>
        <rFont val="Calibri"/>
        <charset val="134"/>
        <scheme val="minor"/>
      </rPr>
      <t>(NOT CONFIRM EXISTING OR NEW)</t>
    </r>
  </si>
  <si>
    <t>OCCUPANCY SENSOR SWITCH</t>
  </si>
  <si>
    <t>SINGLE POLE SWITCH</t>
  </si>
  <si>
    <t>WP, SINGLE POLE SWITCH</t>
  </si>
  <si>
    <t>LOW VOLTAGE WORK
(OUTLETS/DEVICES INCLUDES 4" S BACKBOX, MUD RINGS AND COVER PLATES)</t>
  </si>
  <si>
    <r>
      <rPr>
        <sz val="11"/>
        <rFont val="Calibri"/>
        <charset val="134"/>
        <scheme val="minor"/>
      </rPr>
      <t xml:space="preserve">MINI-INVERTER </t>
    </r>
    <r>
      <rPr>
        <sz val="11"/>
        <color rgb="FFFF0000"/>
        <rFont val="Calibri"/>
        <charset val="134"/>
        <scheme val="minor"/>
      </rPr>
      <t>(FOR ELEVATOR COMMUNICATION)</t>
    </r>
  </si>
  <si>
    <t>TELE/DATA OUTLET</t>
  </si>
  <si>
    <t>LOW VOLTAGE WIRING</t>
  </si>
  <si>
    <t>CAT6 CABLE</t>
  </si>
  <si>
    <r>
      <t xml:space="preserve">SHOWCASE III
</t>
    </r>
    <r>
      <rPr>
        <b/>
        <sz val="12"/>
        <color rgb="FFFF0000"/>
        <rFont val="Calibri"/>
        <family val="2"/>
        <scheme val="minor"/>
      </rPr>
      <t>LAS VEGAS, NV 89101</t>
    </r>
  </si>
  <si>
    <r>
      <t xml:space="preserve">WIRING
</t>
    </r>
    <r>
      <rPr>
        <b/>
        <sz val="11"/>
        <color rgb="FFFFFF00"/>
        <rFont val="Calibri"/>
        <family val="2"/>
        <scheme val="minor"/>
      </rPr>
      <t>(5% wastage is included in the quantities for all conductors/cables and conduits mentioned below)</t>
    </r>
  </si>
  <si>
    <t>OTHER CONDUIT ACCESSORIES</t>
  </si>
  <si>
    <t>#8 To #10 X 7/8 Plas Anchor (3/16)</t>
  </si>
  <si>
    <t>#10 X 1 P/H Self-Tap Screw</t>
  </si>
  <si>
    <t>SQ Box COMB KO With Blank Cover</t>
  </si>
  <si>
    <t>2"C EMT Compression Conn Stl</t>
  </si>
  <si>
    <t>2"C EMT Compression Coupling Stl</t>
  </si>
  <si>
    <t>2"C EMT 1-H Strap - Steel</t>
  </si>
  <si>
    <t>1"C EMT Compression Conn Stl</t>
  </si>
  <si>
    <t>1"C EMT Compression Coupling Stl</t>
  </si>
  <si>
    <t>1"C EMT 1-H Strap - Steel</t>
  </si>
  <si>
    <t>3-1/2" ELBOW 90 DEG - RMC - GALV</t>
  </si>
  <si>
    <t>3-1/2" LOCKNUT - STEEL</t>
  </si>
  <si>
    <t>3-1/2" COUPLING - PVC</t>
  </si>
  <si>
    <t>3-1/2" ADAPTER FEM - PVC</t>
  </si>
  <si>
    <t>3-1/2"C RGS Compression Conn Stl</t>
  </si>
  <si>
    <t>3-1/2"C RGS Compression Coupling Stl</t>
  </si>
  <si>
    <t>3-1/2"C RGS 1-H Strap - Steel</t>
  </si>
  <si>
    <t>3"C EMT Compression Conn Stl</t>
  </si>
  <si>
    <t>3"C EMT Compression Coupling Stl</t>
  </si>
  <si>
    <t>3"C EMT 1-H Strap - Steel</t>
  </si>
  <si>
    <t>3" ELBOW 90 DEG - RMC - GALV</t>
  </si>
  <si>
    <t>3" LOCKNUT - STEEL</t>
  </si>
  <si>
    <t>3" COUPLING - PVC</t>
  </si>
  <si>
    <t>3" ADAPTER FEM - PVC</t>
  </si>
  <si>
    <t>3"C RGS Compression Conn Stl</t>
  </si>
  <si>
    <t>3"C RGS Compression Coupling Stl</t>
  </si>
  <si>
    <t>3"C RGS 1-H Strap - Steel</t>
  </si>
  <si>
    <t>2-1/2" ELBOW 90 DEG - RMC - GALV</t>
  </si>
  <si>
    <t>2-1/2" LOCKNUT - STEEL</t>
  </si>
  <si>
    <t>2-1/2" COUPLING - PVC</t>
  </si>
  <si>
    <t>2-1/2" ADAPTER FEM - PVC</t>
  </si>
  <si>
    <t>2-1/2"C RGS Compression Conn Stl</t>
  </si>
  <si>
    <t>2-1/2"C RGS Compression Coupling Stl</t>
  </si>
  <si>
    <t>2-1/2"C RGS 1-H Strap - Steel</t>
  </si>
  <si>
    <t>1-1/2"C EMT Compression Conn Stl</t>
  </si>
  <si>
    <t>1-1/2"C EMT Compression Coupling Stl</t>
  </si>
  <si>
    <t>1-1/2"C EMT 1-H Strap - Steel</t>
  </si>
  <si>
    <t>1-1/2"C RGS Compression Conn Stl</t>
  </si>
  <si>
    <t>1-1/2"C RGS Compression Coupling Stl</t>
  </si>
  <si>
    <t>1-1/2"C RGS 1-H Strap - Steel</t>
  </si>
  <si>
    <t>1-1/4"C EMT Compression Conn Stl</t>
  </si>
  <si>
    <t>1-1/4"C EMT Compression Coupling Stl</t>
  </si>
  <si>
    <t>1-1/4"C EMT 1-H Strap - Steel</t>
  </si>
  <si>
    <t>1-1/4"C RGS Compression Conn Stl</t>
  </si>
  <si>
    <t>1-1/4"C RGS Compression Coupling Stl</t>
  </si>
  <si>
    <t>1-1/4"C RGS 1-H Strap - Steel</t>
  </si>
  <si>
    <t>1"C RGS Compression Conn Stl</t>
  </si>
  <si>
    <t>1"C RGS Compression Coupling Stl</t>
  </si>
  <si>
    <t>1"C RGS 1-H Strap - Steel</t>
  </si>
  <si>
    <t>3/4"C EMT Compression Conn Stl</t>
  </si>
  <si>
    <t>3/4"C EMT Compression Coupling Stl</t>
  </si>
  <si>
    <t>3/4"C EMT 1-H Strap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</si>
</sst>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0">
    <font>
      <sz val="12"/>
      <name val="Arial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2"/>
      <color rgb="FF00B0F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name val="Arial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10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2DC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0">
    <xf numFmtId="0" fontId="0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28" borderId="8" applyNumberFormat="0" applyAlignment="0" applyProtection="0"/>
    <xf numFmtId="0" fontId="16" fillId="28" borderId="8" applyNumberFormat="0" applyAlignment="0" applyProtection="0"/>
    <xf numFmtId="0" fontId="17" fillId="29" borderId="9" applyNumberFormat="0" applyAlignment="0" applyProtection="0"/>
    <xf numFmtId="0" fontId="17" fillId="29" borderId="9" applyNumberFormat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5" borderId="8" applyNumberFormat="0" applyAlignment="0" applyProtection="0"/>
    <xf numFmtId="0" fontId="23" fillId="15" borderId="8" applyNumberFormat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4" fillId="0" borderId="0"/>
    <xf numFmtId="0" fontId="12" fillId="0" borderId="0"/>
    <xf numFmtId="0" fontId="26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31" borderId="14" applyNumberFormat="0" applyFont="0" applyAlignment="0" applyProtection="0"/>
    <xf numFmtId="0" fontId="12" fillId="31" borderId="14" applyNumberFormat="0" applyFont="0" applyAlignment="0" applyProtection="0"/>
    <xf numFmtId="0" fontId="27" fillId="28" borderId="15" applyNumberFormat="0" applyAlignment="0" applyProtection="0"/>
    <xf numFmtId="0" fontId="27" fillId="28" borderId="15" applyNumberFormat="0" applyAlignment="0" applyProtection="0"/>
    <xf numFmtId="9" fontId="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32" borderId="19" applyNumberFormat="0" applyFont="0" applyAlignment="0" applyProtection="0"/>
  </cellStyleXfs>
  <cellXfs count="62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7" fillId="0" borderId="1" xfId="78" applyFont="1" applyBorder="1"/>
    <xf numFmtId="0" fontId="8" fillId="0" borderId="0" xfId="78" applyFont="1" applyAlignment="1">
      <alignment horizontal="center" vertical="center" wrapText="1"/>
    </xf>
    <xf numFmtId="0" fontId="5" fillId="0" borderId="0" xfId="78" applyFont="1" applyAlignment="1">
      <alignment horizontal="left"/>
    </xf>
    <xf numFmtId="14" fontId="5" fillId="0" borderId="0" xfId="0" applyNumberFormat="1" applyFont="1" applyAlignment="1">
      <alignment horizontal="left"/>
    </xf>
    <xf numFmtId="1" fontId="8" fillId="0" borderId="0" xfId="78" applyNumberFormat="1" applyFont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" fontId="5" fillId="4" borderId="3" xfId="85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" fontId="5" fillId="4" borderId="6" xfId="85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" fontId="10" fillId="0" borderId="7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4" borderId="2" xfId="78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6" fillId="0" borderId="0" xfId="0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/>
    </xf>
    <xf numFmtId="1" fontId="8" fillId="0" borderId="0" xfId="78" applyNumberFormat="1" applyFont="1" applyBorder="1" applyAlignment="1">
      <alignment horizontal="left" vertical="center"/>
    </xf>
    <xf numFmtId="0" fontId="6" fillId="0" borderId="0" xfId="78" applyFont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10" fillId="9" borderId="2" xfId="0" applyFont="1" applyFill="1" applyBorder="1" applyAlignment="1">
      <alignment vertical="center" wrapText="1"/>
    </xf>
    <xf numFmtId="1" fontId="10" fillId="9" borderId="2" xfId="0" applyNumberFormat="1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34" fillId="33" borderId="17" xfId="0" applyFont="1" applyFill="1" applyBorder="1" applyAlignment="1">
      <alignment horizontal="center" vertical="center" wrapText="1"/>
    </xf>
    <xf numFmtId="0" fontId="38" fillId="0" borderId="17" xfId="0" applyFont="1" applyBorder="1"/>
    <xf numFmtId="0" fontId="33" fillId="34" borderId="17" xfId="0" applyFont="1" applyFill="1" applyBorder="1" applyAlignment="1">
      <alignment horizontal="left" vertical="center" wrapText="1"/>
    </xf>
    <xf numFmtId="1" fontId="38" fillId="0" borderId="17" xfId="0" applyNumberFormat="1" applyFont="1" applyBorder="1" applyAlignment="1">
      <alignment horizontal="center"/>
    </xf>
    <xf numFmtId="0" fontId="38" fillId="0" borderId="0" xfId="0" applyFont="1"/>
    <xf numFmtId="0" fontId="1" fillId="0" borderId="17" xfId="0" applyFont="1" applyBorder="1" applyAlignment="1">
      <alignment horizontal="center" vertical="center"/>
    </xf>
    <xf numFmtId="0" fontId="39" fillId="0" borderId="20" xfId="0" applyFont="1" applyBorder="1" applyAlignment="1">
      <alignment horizontal="right" vertical="center" wrapText="1"/>
    </xf>
    <xf numFmtId="1" fontId="39" fillId="0" borderId="20" xfId="0" applyNumberFormat="1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/>
    </xf>
    <xf numFmtId="0" fontId="38" fillId="0" borderId="0" xfId="0" applyFont="1" applyAlignment="1">
      <alignment wrapText="1"/>
    </xf>
    <xf numFmtId="0" fontId="0" fillId="0" borderId="0" xfId="0" applyAlignment="1">
      <alignment vertical="center"/>
    </xf>
    <xf numFmtId="0" fontId="38" fillId="0" borderId="0" xfId="99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9" fillId="0" borderId="17" xfId="0" applyFont="1" applyBorder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1" fontId="39" fillId="0" borderId="0" xfId="0" applyNumberFormat="1" applyFont="1" applyAlignment="1">
      <alignment horizontal="center" vertical="center"/>
    </xf>
    <xf numFmtId="1" fontId="38" fillId="0" borderId="0" xfId="99" applyNumberFormat="1" applyFont="1" applyFill="1" applyBorder="1" applyAlignment="1">
      <alignment horizontal="center" vertical="center"/>
    </xf>
    <xf numFmtId="1" fontId="5" fillId="9" borderId="6" xfId="85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38" fillId="9" borderId="17" xfId="0" applyFont="1" applyFill="1" applyBorder="1"/>
    <xf numFmtId="0" fontId="1" fillId="9" borderId="17" xfId="0" applyFont="1" applyFill="1" applyBorder="1" applyAlignment="1">
      <alignment horizontal="center" vertical="center"/>
    </xf>
    <xf numFmtId="1" fontId="36" fillId="4" borderId="18" xfId="85" applyNumberFormat="1" applyFont="1" applyFill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 wrapText="1"/>
    </xf>
  </cellXfs>
  <cellStyles count="100">
    <cellStyle name="20% - Accent1 2" xfId="1" xr:uid="{00000000-0005-0000-0000-000031000000}"/>
    <cellStyle name="20% - Accent1 3" xfId="2" xr:uid="{00000000-0005-0000-0000-000032000000}"/>
    <cellStyle name="20% - Accent2 2" xfId="3" xr:uid="{00000000-0005-0000-0000-000033000000}"/>
    <cellStyle name="20% - Accent2 3" xfId="4" xr:uid="{00000000-0005-0000-0000-000034000000}"/>
    <cellStyle name="20% - Accent3 2" xfId="5" xr:uid="{00000000-0005-0000-0000-000035000000}"/>
    <cellStyle name="20% - Accent3 3" xfId="6" xr:uid="{00000000-0005-0000-0000-000036000000}"/>
    <cellStyle name="20% - Accent4 2" xfId="7" xr:uid="{00000000-0005-0000-0000-000037000000}"/>
    <cellStyle name="20% - Accent4 3" xfId="8" xr:uid="{00000000-0005-0000-0000-000038000000}"/>
    <cellStyle name="20% - Accent5 2" xfId="9" xr:uid="{00000000-0005-0000-0000-000039000000}"/>
    <cellStyle name="20% - Accent5 3" xfId="10" xr:uid="{00000000-0005-0000-0000-00003A000000}"/>
    <cellStyle name="20% - Accent6 2" xfId="11" xr:uid="{00000000-0005-0000-0000-00003B000000}"/>
    <cellStyle name="20% - Accent6 3" xfId="12" xr:uid="{00000000-0005-0000-0000-00003C000000}"/>
    <cellStyle name="40% - Accent1 2" xfId="13" xr:uid="{00000000-0005-0000-0000-00003D000000}"/>
    <cellStyle name="40% - Accent1 3" xfId="14" xr:uid="{00000000-0005-0000-0000-00003E000000}"/>
    <cellStyle name="40% - Accent2 2" xfId="15" xr:uid="{00000000-0005-0000-0000-00003F000000}"/>
    <cellStyle name="40% - Accent2 3" xfId="16" xr:uid="{00000000-0005-0000-0000-000040000000}"/>
    <cellStyle name="40% - Accent3 2" xfId="17" xr:uid="{00000000-0005-0000-0000-000041000000}"/>
    <cellStyle name="40% - Accent3 3" xfId="18" xr:uid="{00000000-0005-0000-0000-000042000000}"/>
    <cellStyle name="40% - Accent4 2" xfId="19" xr:uid="{00000000-0005-0000-0000-000043000000}"/>
    <cellStyle name="40% - Accent4 3" xfId="20" xr:uid="{00000000-0005-0000-0000-000044000000}"/>
    <cellStyle name="40% - Accent5 2" xfId="21" xr:uid="{00000000-0005-0000-0000-000045000000}"/>
    <cellStyle name="40% - Accent5 3" xfId="22" xr:uid="{00000000-0005-0000-0000-000046000000}"/>
    <cellStyle name="40% - Accent6 2" xfId="23" xr:uid="{00000000-0005-0000-0000-000047000000}"/>
    <cellStyle name="40% - Accent6 3" xfId="24" xr:uid="{00000000-0005-0000-0000-000048000000}"/>
    <cellStyle name="60% - Accent1 2" xfId="25" xr:uid="{00000000-0005-0000-0000-000049000000}"/>
    <cellStyle name="60% - Accent1 3" xfId="26" xr:uid="{00000000-0005-0000-0000-00004A000000}"/>
    <cellStyle name="60% - Accent2 2" xfId="27" xr:uid="{00000000-0005-0000-0000-00004B000000}"/>
    <cellStyle name="60% - Accent2 3" xfId="28" xr:uid="{00000000-0005-0000-0000-00004C000000}"/>
    <cellStyle name="60% - Accent3 2" xfId="29" xr:uid="{00000000-0005-0000-0000-00004D000000}"/>
    <cellStyle name="60% - Accent3 3" xfId="30" xr:uid="{00000000-0005-0000-0000-00004E000000}"/>
    <cellStyle name="60% - Accent4 2" xfId="31" xr:uid="{00000000-0005-0000-0000-00004F000000}"/>
    <cellStyle name="60% - Accent4 3" xfId="32" xr:uid="{00000000-0005-0000-0000-000050000000}"/>
    <cellStyle name="60% - Accent5 2" xfId="33" xr:uid="{00000000-0005-0000-0000-000051000000}"/>
    <cellStyle name="60% - Accent5 3" xfId="34" xr:uid="{00000000-0005-0000-0000-000052000000}"/>
    <cellStyle name="60% - Accent6 2" xfId="35" xr:uid="{00000000-0005-0000-0000-000053000000}"/>
    <cellStyle name="60% - Accent6 3" xfId="36" xr:uid="{00000000-0005-0000-0000-000054000000}"/>
    <cellStyle name="Accent1 2" xfId="37" xr:uid="{00000000-0005-0000-0000-000055000000}"/>
    <cellStyle name="Accent1 3" xfId="38" xr:uid="{00000000-0005-0000-0000-000056000000}"/>
    <cellStyle name="Accent2 2" xfId="39" xr:uid="{00000000-0005-0000-0000-000057000000}"/>
    <cellStyle name="Accent2 3" xfId="40" xr:uid="{00000000-0005-0000-0000-000058000000}"/>
    <cellStyle name="Accent3 2" xfId="41" xr:uid="{00000000-0005-0000-0000-000059000000}"/>
    <cellStyle name="Accent3 3" xfId="42" xr:uid="{00000000-0005-0000-0000-00005A000000}"/>
    <cellStyle name="Accent4 2" xfId="43" xr:uid="{00000000-0005-0000-0000-00005B000000}"/>
    <cellStyle name="Accent4 3" xfId="44" xr:uid="{00000000-0005-0000-0000-00005C000000}"/>
    <cellStyle name="Accent5 2" xfId="45" xr:uid="{00000000-0005-0000-0000-00005D000000}"/>
    <cellStyle name="Accent5 3" xfId="46" xr:uid="{00000000-0005-0000-0000-00005E000000}"/>
    <cellStyle name="Accent6 2" xfId="47" xr:uid="{00000000-0005-0000-0000-00005F000000}"/>
    <cellStyle name="Accent6 3" xfId="48" xr:uid="{00000000-0005-0000-0000-000060000000}"/>
    <cellStyle name="Bad 2" xfId="49" xr:uid="{00000000-0005-0000-0000-000061000000}"/>
    <cellStyle name="Bad 3" xfId="50" xr:uid="{00000000-0005-0000-0000-000062000000}"/>
    <cellStyle name="Calculation 2" xfId="51" xr:uid="{00000000-0005-0000-0000-000063000000}"/>
    <cellStyle name="Calculation 3" xfId="52" xr:uid="{00000000-0005-0000-0000-000064000000}"/>
    <cellStyle name="Check Cell 2" xfId="53" xr:uid="{00000000-0005-0000-0000-000065000000}"/>
    <cellStyle name="Check Cell 3" xfId="54" xr:uid="{00000000-0005-0000-0000-000066000000}"/>
    <cellStyle name="Comma 2" xfId="55" xr:uid="{00000000-0005-0000-0000-000067000000}"/>
    <cellStyle name="Comma 2 2" xfId="56" xr:uid="{00000000-0005-0000-0000-000068000000}"/>
    <cellStyle name="Currency 2" xfId="57" xr:uid="{00000000-0005-0000-0000-000069000000}"/>
    <cellStyle name="Currency 3" xfId="58" xr:uid="{00000000-0005-0000-0000-00006A000000}"/>
    <cellStyle name="Currency 3 2" xfId="97" xr:uid="{DCBAFCAA-338C-410F-A6A6-98B242C16D4A}"/>
    <cellStyle name="Explanatory Text 2" xfId="59" xr:uid="{00000000-0005-0000-0000-00006B000000}"/>
    <cellStyle name="Explanatory Text 3" xfId="60" xr:uid="{00000000-0005-0000-0000-00006C000000}"/>
    <cellStyle name="Good 2" xfId="61" xr:uid="{00000000-0005-0000-0000-00006D000000}"/>
    <cellStyle name="Good 3" xfId="62" xr:uid="{00000000-0005-0000-0000-00006E000000}"/>
    <cellStyle name="Heading 1 2" xfId="63" xr:uid="{00000000-0005-0000-0000-00006F000000}"/>
    <cellStyle name="Heading 1 3" xfId="64" xr:uid="{00000000-0005-0000-0000-000070000000}"/>
    <cellStyle name="Heading 2 2" xfId="65" xr:uid="{00000000-0005-0000-0000-000071000000}"/>
    <cellStyle name="Heading 2 3" xfId="66" xr:uid="{00000000-0005-0000-0000-000072000000}"/>
    <cellStyle name="Heading 3 2" xfId="67" xr:uid="{00000000-0005-0000-0000-000073000000}"/>
    <cellStyle name="Heading 3 3" xfId="68" xr:uid="{00000000-0005-0000-0000-000074000000}"/>
    <cellStyle name="Heading 4 2" xfId="69" xr:uid="{00000000-0005-0000-0000-000075000000}"/>
    <cellStyle name="Heading 4 3" xfId="70" xr:uid="{00000000-0005-0000-0000-000076000000}"/>
    <cellStyle name="Input 2" xfId="71" xr:uid="{00000000-0005-0000-0000-000077000000}"/>
    <cellStyle name="Input 3" xfId="72" xr:uid="{00000000-0005-0000-0000-000078000000}"/>
    <cellStyle name="Linked Cell 2" xfId="73" xr:uid="{00000000-0005-0000-0000-000079000000}"/>
    <cellStyle name="Linked Cell 3" xfId="74" xr:uid="{00000000-0005-0000-0000-00007A000000}"/>
    <cellStyle name="Neutral 2" xfId="75" xr:uid="{00000000-0005-0000-0000-00007B000000}"/>
    <cellStyle name="Neutral 3" xfId="76" xr:uid="{00000000-0005-0000-0000-00007C000000}"/>
    <cellStyle name="Normal" xfId="0" builtinId="0"/>
    <cellStyle name="Normal 10" xfId="77" xr:uid="{00000000-0005-0000-0000-00007D000000}"/>
    <cellStyle name="Normal 2" xfId="78" xr:uid="{00000000-0005-0000-0000-00007E000000}"/>
    <cellStyle name="Normal 2 2" xfId="79" xr:uid="{00000000-0005-0000-0000-00007F000000}"/>
    <cellStyle name="Normal 2 3" xfId="80" xr:uid="{00000000-0005-0000-0000-000080000000}"/>
    <cellStyle name="Normal 3" xfId="81" xr:uid="{00000000-0005-0000-0000-000081000000}"/>
    <cellStyle name="Normal 4" xfId="82" xr:uid="{00000000-0005-0000-0000-000082000000}"/>
    <cellStyle name="Normal 5 2" xfId="83" xr:uid="{00000000-0005-0000-0000-000083000000}"/>
    <cellStyle name="Normal 5 2 2" xfId="96" xr:uid="{4C09AE88-32FE-4922-A996-6C903AF704C8}"/>
    <cellStyle name="Normal 6" xfId="84" xr:uid="{00000000-0005-0000-0000-000084000000}"/>
    <cellStyle name="Note" xfId="99" builtinId="10"/>
    <cellStyle name="Note 2" xfId="85" xr:uid="{00000000-0005-0000-0000-000085000000}"/>
    <cellStyle name="Note 3" xfId="86" xr:uid="{00000000-0005-0000-0000-000086000000}"/>
    <cellStyle name="Output 2" xfId="87" xr:uid="{00000000-0005-0000-0000-000087000000}"/>
    <cellStyle name="Output 3" xfId="88" xr:uid="{00000000-0005-0000-0000-000088000000}"/>
    <cellStyle name="Percent 3" xfId="89" xr:uid="{00000000-0005-0000-0000-000089000000}"/>
    <cellStyle name="Percent 3 2" xfId="98" xr:uid="{74C06D15-741C-4C61-BD3E-C959D34CAC01}"/>
    <cellStyle name="Title 2" xfId="90" xr:uid="{00000000-0005-0000-0000-00008A000000}"/>
    <cellStyle name="Title 3" xfId="91" xr:uid="{00000000-0005-0000-0000-00008B000000}"/>
    <cellStyle name="Total 2" xfId="92" xr:uid="{00000000-0005-0000-0000-00008C000000}"/>
    <cellStyle name="Total 3" xfId="93" xr:uid="{00000000-0005-0000-0000-00008D000000}"/>
    <cellStyle name="Warning Text 2" xfId="94" xr:uid="{00000000-0005-0000-0000-00008E000000}"/>
    <cellStyle name="Warning Text 3" xfId="95" xr:uid="{00000000-0005-0000-0000-00008F000000}"/>
  </cellStyles>
  <dxfs count="0"/>
  <tableStyles count="0" defaultTableStyle="TableStyleMedium9" defaultPivotStyle="PivotStyleLight16"/>
  <colors>
    <mruColors>
      <color rgb="FF6DD9FF"/>
      <color rgb="FF2DC8FF"/>
      <color rgb="FF03C6ED"/>
      <color rgb="FFFFFF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2B-456F-9D69-F77BA7EA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937752"/>
        <c:axId val="268938144"/>
      </c:barChart>
      <c:catAx>
        <c:axId val="26893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  <a:endParaRPr lang="en-US"/>
          </a:p>
        </c:txPr>
        <c:crossAx val="268938144"/>
        <c:crosses val="autoZero"/>
        <c:auto val="1"/>
        <c:lblAlgn val="ctr"/>
        <c:lblOffset val="100"/>
        <c:noMultiLvlLbl val="0"/>
      </c:catAx>
      <c:valAx>
        <c:axId val="2689381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rgbClr val="000000"/>
                </a:solidFill>
                <a:latin typeface="Verdana" panose="020B0604030504040204"/>
                <a:ea typeface="Verdana" panose="020B0604030504040204"/>
                <a:cs typeface="Verdana" panose="020B0604030504040204"/>
              </a:defRPr>
            </a:pPr>
            <a:endParaRPr lang="en-US"/>
          </a:p>
        </c:txPr>
        <c:crossAx val="26893775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91b567-873b-4980-bdd7-aae6666615bd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428625</xdr:colOff>
      <xdr:row>31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141" zoomScaleNormal="141" workbookViewId="0"/>
  </sheetViews>
  <sheetFormatPr defaultColWidth="8.26953125" defaultRowHeight="15"/>
  <sheetData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54296875" defaultRowHeight="15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4"/>
  <sheetViews>
    <sheetView tabSelected="1" view="pageBreakPreview" zoomScale="70" zoomScaleNormal="90" zoomScaleSheetLayoutView="70" workbookViewId="0">
      <selection activeCell="B2" sqref="B2"/>
    </sheetView>
  </sheetViews>
  <sheetFormatPr defaultColWidth="8.54296875" defaultRowHeight="15.6"/>
  <cols>
    <col min="1" max="1" width="6.453125" style="3" customWidth="1"/>
    <col min="2" max="2" width="71.08984375" style="3" customWidth="1"/>
    <col min="3" max="3" width="9.453125" style="4" customWidth="1"/>
    <col min="4" max="4" width="6.81640625" style="3" customWidth="1"/>
    <col min="5" max="16384" width="8.54296875" style="3"/>
  </cols>
  <sheetData>
    <row r="1" spans="1:4">
      <c r="C1" s="31"/>
      <c r="D1" s="29"/>
    </row>
    <row r="2" spans="1:4" ht="34.200000000000003" customHeight="1">
      <c r="A2" s="5"/>
      <c r="B2" s="30" t="s">
        <v>148</v>
      </c>
      <c r="C2" s="32"/>
      <c r="D2" s="33"/>
    </row>
    <row r="3" spans="1:4">
      <c r="A3" s="7"/>
      <c r="B3" s="8"/>
      <c r="C3" s="9"/>
      <c r="D3" s="6"/>
    </row>
    <row r="4" spans="1:4" ht="28.8">
      <c r="A4" s="10" t="s">
        <v>0</v>
      </c>
      <c r="B4" s="11" t="s">
        <v>1</v>
      </c>
      <c r="C4" s="12" t="s">
        <v>2</v>
      </c>
      <c r="D4" s="10" t="s">
        <v>3</v>
      </c>
    </row>
    <row r="5" spans="1:4" s="1" customFormat="1">
      <c r="A5" s="13" t="str">
        <f>IF(C5&lt;&gt;"",1+MAX(A$5:A5),"")</f>
        <v/>
      </c>
      <c r="B5" s="14" t="s">
        <v>4</v>
      </c>
      <c r="C5" s="15"/>
      <c r="D5" s="16"/>
    </row>
    <row r="6" spans="1:4" s="1" customFormat="1" ht="43.2">
      <c r="A6" s="17">
        <f>IF(C6&lt;&gt;"",1+MAX(A$5:A5),"")</f>
        <v>1</v>
      </c>
      <c r="B6" s="18" t="s">
        <v>5</v>
      </c>
      <c r="C6" s="19">
        <v>2092.91</v>
      </c>
      <c r="D6" s="20" t="s">
        <v>6</v>
      </c>
    </row>
    <row r="7" spans="1:4" s="1" customFormat="1" ht="43.2">
      <c r="A7" s="17">
        <f>IF(C7&lt;&gt;"",1+MAX(A$5:A6),"")</f>
        <v>2</v>
      </c>
      <c r="B7" s="18" t="s">
        <v>7</v>
      </c>
      <c r="C7" s="19">
        <v>8168.38</v>
      </c>
      <c r="D7" s="20" t="s">
        <v>6</v>
      </c>
    </row>
    <row r="8" spans="1:4" s="1" customFormat="1" ht="57.6">
      <c r="A8" s="17">
        <f>IF(C8&lt;&gt;"",1+MAX(A$5:A7),"")</f>
        <v>3</v>
      </c>
      <c r="B8" s="18" t="s">
        <v>8</v>
      </c>
      <c r="C8" s="19">
        <v>222.8</v>
      </c>
      <c r="D8" s="20" t="s">
        <v>6</v>
      </c>
    </row>
    <row r="9" spans="1:4" s="1" customFormat="1" ht="28.8">
      <c r="A9" s="17">
        <f>IF(C9&lt;&gt;"",1+MAX(A$5:A8),"")</f>
        <v>4</v>
      </c>
      <c r="B9" s="18" t="s">
        <v>9</v>
      </c>
      <c r="C9" s="19">
        <v>224.6</v>
      </c>
      <c r="D9" s="20" t="s">
        <v>6</v>
      </c>
    </row>
    <row r="10" spans="1:4" s="1" customFormat="1" ht="28.8">
      <c r="A10" s="17">
        <f>IF(C10&lt;&gt;"",1+MAX(A$5:A9),"")</f>
        <v>5</v>
      </c>
      <c r="B10" s="18" t="s">
        <v>10</v>
      </c>
      <c r="C10" s="19">
        <v>1</v>
      </c>
      <c r="D10" s="20" t="s">
        <v>11</v>
      </c>
    </row>
    <row r="11" spans="1:4" s="1" customFormat="1" ht="43.2">
      <c r="A11" s="17">
        <f>IF(C11&lt;&gt;"",1+MAX(A$5:A10),"")</f>
        <v>6</v>
      </c>
      <c r="B11" s="18" t="s">
        <v>12</v>
      </c>
      <c r="C11" s="19">
        <v>2</v>
      </c>
      <c r="D11" s="20" t="s">
        <v>11</v>
      </c>
    </row>
    <row r="12" spans="1:4" s="1" customFormat="1" ht="43.2">
      <c r="A12" s="17">
        <f>IF(C12&lt;&gt;"",1+MAX(A$5:A11),"")</f>
        <v>7</v>
      </c>
      <c r="B12" s="18" t="s">
        <v>13</v>
      </c>
      <c r="C12" s="19">
        <v>2</v>
      </c>
      <c r="D12" s="20" t="s">
        <v>11</v>
      </c>
    </row>
    <row r="13" spans="1:4" s="1" customFormat="1" ht="28.8">
      <c r="A13" s="17">
        <f>IF(C13&lt;&gt;"",1+MAX(A$5:A12),"")</f>
        <v>8</v>
      </c>
      <c r="B13" s="18" t="s">
        <v>14</v>
      </c>
      <c r="C13" s="19">
        <v>1</v>
      </c>
      <c r="D13" s="20" t="s">
        <v>11</v>
      </c>
    </row>
    <row r="14" spans="1:4" s="1" customFormat="1" ht="57.6">
      <c r="A14" s="17">
        <f>IF(C14&lt;&gt;"",1+MAX(A$5:A13),"")</f>
        <v>9</v>
      </c>
      <c r="B14" s="18" t="s">
        <v>15</v>
      </c>
      <c r="C14" s="19">
        <v>2</v>
      </c>
      <c r="D14" s="20" t="s">
        <v>11</v>
      </c>
    </row>
    <row r="15" spans="1:4" s="1" customFormat="1" ht="43.2">
      <c r="A15" s="17">
        <f>IF(C15&lt;&gt;"",1+MAX(A$5:A14),"")</f>
        <v>10</v>
      </c>
      <c r="B15" s="18" t="s">
        <v>16</v>
      </c>
      <c r="C15" s="19">
        <v>1</v>
      </c>
      <c r="D15" s="20" t="s">
        <v>11</v>
      </c>
    </row>
    <row r="16" spans="1:4" s="1" customFormat="1" ht="28.8">
      <c r="A16" s="17">
        <f>IF(C16&lt;&gt;"",1+MAX(A$5:A15),"")</f>
        <v>11</v>
      </c>
      <c r="B16" s="18" t="s">
        <v>17</v>
      </c>
      <c r="C16" s="19">
        <v>1</v>
      </c>
      <c r="D16" s="20" t="s">
        <v>11</v>
      </c>
    </row>
    <row r="17" spans="1:4" s="1" customFormat="1" ht="28.8">
      <c r="A17" s="17">
        <f>IF(C17&lt;&gt;"",1+MAX(A$5:A16),"")</f>
        <v>12</v>
      </c>
      <c r="B17" s="18" t="s">
        <v>18</v>
      </c>
      <c r="C17" s="19">
        <v>1</v>
      </c>
      <c r="D17" s="20" t="s">
        <v>11</v>
      </c>
    </row>
    <row r="18" spans="1:4" s="1" customFormat="1" ht="28.8">
      <c r="A18" s="17">
        <f>IF(C18&lt;&gt;"",1+MAX(A$5:A17),"")</f>
        <v>13</v>
      </c>
      <c r="B18" s="18" t="s">
        <v>19</v>
      </c>
      <c r="C18" s="19">
        <v>1</v>
      </c>
      <c r="D18" s="20" t="s">
        <v>11</v>
      </c>
    </row>
    <row r="19" spans="1:4" s="1" customFormat="1">
      <c r="A19" s="17">
        <f>IF(C19&lt;&gt;"",1+MAX(A$5:A18),"")</f>
        <v>14</v>
      </c>
      <c r="B19" s="18" t="s">
        <v>20</v>
      </c>
      <c r="C19" s="19">
        <v>3</v>
      </c>
      <c r="D19" s="20" t="s">
        <v>11</v>
      </c>
    </row>
    <row r="20" spans="1:4" s="1" customFormat="1">
      <c r="A20" s="17" t="str">
        <f>IF(C20&lt;&gt;"",1+MAX(A$5:A19),"")</f>
        <v/>
      </c>
      <c r="B20" s="21"/>
      <c r="C20" s="19"/>
      <c r="D20" s="22"/>
    </row>
    <row r="21" spans="1:4" s="1" customFormat="1">
      <c r="A21" s="17" t="str">
        <f>IF(C21&lt;&gt;"",1+MAX(A$5:A20),"")</f>
        <v/>
      </c>
      <c r="B21" s="14" t="s">
        <v>21</v>
      </c>
      <c r="C21" s="19"/>
      <c r="D21" s="22"/>
    </row>
    <row r="22" spans="1:4" s="1" customFormat="1" ht="28.8">
      <c r="A22" s="17" t="str">
        <f>IF(C22&lt;&gt;"",1+MAX(A$5:A21),"")</f>
        <v/>
      </c>
      <c r="B22" s="38" t="s">
        <v>149</v>
      </c>
      <c r="C22" s="19"/>
      <c r="D22" s="22"/>
    </row>
    <row r="23" spans="1:4" s="1" customFormat="1">
      <c r="A23" s="17" t="str">
        <f>IF(C23&lt;&gt;"",1+MAX(A$5:A22),"")</f>
        <v/>
      </c>
      <c r="B23" s="24" t="s">
        <v>22</v>
      </c>
      <c r="C23" s="19"/>
      <c r="D23" s="22"/>
    </row>
    <row r="24" spans="1:4" s="1" customFormat="1">
      <c r="A24" s="17">
        <f>IF(C24&lt;&gt;"",1+MAX(A$5:A23),"")</f>
        <v>15</v>
      </c>
      <c r="B24" s="25" t="s">
        <v>23</v>
      </c>
      <c r="C24" s="19">
        <v>844.36800000000005</v>
      </c>
      <c r="D24" s="20" t="s">
        <v>24</v>
      </c>
    </row>
    <row r="25" spans="1:4" s="1" customFormat="1">
      <c r="A25" s="17">
        <f>IF(C25&lt;&gt;"",1+MAX(A$5:A24),"")</f>
        <v>16</v>
      </c>
      <c r="B25" s="25" t="s">
        <v>25</v>
      </c>
      <c r="C25" s="19">
        <v>13371.771000000001</v>
      </c>
      <c r="D25" s="20" t="s">
        <v>24</v>
      </c>
    </row>
    <row r="26" spans="1:4" s="1" customFormat="1">
      <c r="A26" s="17">
        <f>IF(C26&lt;&gt;"",1+MAX(A$5:A25),"")</f>
        <v>17</v>
      </c>
      <c r="B26" s="25" t="s">
        <v>26</v>
      </c>
      <c r="C26" s="19">
        <v>211.09200000000001</v>
      </c>
      <c r="D26" s="20" t="s">
        <v>24</v>
      </c>
    </row>
    <row r="27" spans="1:4" s="1" customFormat="1">
      <c r="A27" s="17">
        <f>IF(C27&lt;&gt;"",1+MAX(A$5:A26),"")</f>
        <v>18</v>
      </c>
      <c r="B27" s="25" t="s">
        <v>27</v>
      </c>
      <c r="C27" s="19">
        <v>4664.1419999999998</v>
      </c>
      <c r="D27" s="20" t="s">
        <v>24</v>
      </c>
    </row>
    <row r="28" spans="1:4" s="1" customFormat="1">
      <c r="A28" s="17">
        <f>IF(C28&lt;&gt;"",1+MAX(A$5:A27),"")</f>
        <v>19</v>
      </c>
      <c r="B28" s="25" t="s">
        <v>28</v>
      </c>
      <c r="C28" s="19">
        <v>546.90300000000002</v>
      </c>
      <c r="D28" s="20" t="s">
        <v>24</v>
      </c>
    </row>
    <row r="29" spans="1:4" s="1" customFormat="1">
      <c r="A29" s="17">
        <f>IF(C29&lt;&gt;"",1+MAX(A$5:A28),"")</f>
        <v>20</v>
      </c>
      <c r="B29" s="25" t="s">
        <v>29</v>
      </c>
      <c r="C29" s="19">
        <v>1160.2919999999999</v>
      </c>
      <c r="D29" s="20" t="s">
        <v>24</v>
      </c>
    </row>
    <row r="30" spans="1:4" s="1" customFormat="1">
      <c r="A30" s="17">
        <f>IF(C30&lt;&gt;"",1+MAX(A$5:A29),"")</f>
        <v>21</v>
      </c>
      <c r="B30" s="25" t="s">
        <v>30</v>
      </c>
      <c r="C30" s="19">
        <v>539.65800000000002</v>
      </c>
      <c r="D30" s="20" t="s">
        <v>24</v>
      </c>
    </row>
    <row r="31" spans="1:4" s="1" customFormat="1">
      <c r="A31" s="17">
        <f>IF(C31&lt;&gt;"",1+MAX(A$5:A30),"")</f>
        <v>22</v>
      </c>
      <c r="B31" s="25" t="s">
        <v>31</v>
      </c>
      <c r="C31" s="19">
        <v>1254.1095000000003</v>
      </c>
      <c r="D31" s="20" t="s">
        <v>24</v>
      </c>
    </row>
    <row r="32" spans="1:4" s="1" customFormat="1">
      <c r="A32" s="17">
        <f>IF(C32&lt;&gt;"",1+MAX(A$5:A31),"")</f>
        <v>23</v>
      </c>
      <c r="B32" s="25" t="s">
        <v>32</v>
      </c>
      <c r="C32" s="19">
        <v>2608.0214999999998</v>
      </c>
      <c r="D32" s="20" t="s">
        <v>24</v>
      </c>
    </row>
    <row r="33" spans="1:9" s="1" customFormat="1">
      <c r="A33" s="17">
        <f>IF(C33&lt;&gt;"",1+MAX(A$5:A32),"")</f>
        <v>24</v>
      </c>
      <c r="B33" s="25" t="s">
        <v>33</v>
      </c>
      <c r="C33" s="19">
        <v>4456.0529999999999</v>
      </c>
      <c r="D33" s="20" t="s">
        <v>24</v>
      </c>
    </row>
    <row r="34" spans="1:9" s="1" customFormat="1">
      <c r="A34" s="17">
        <f>IF(C34&lt;&gt;"",1+MAX(A$5:A33),"")</f>
        <v>25</v>
      </c>
      <c r="B34" s="25" t="s">
        <v>34</v>
      </c>
      <c r="C34" s="19">
        <v>2759.6835000000001</v>
      </c>
      <c r="D34" s="20" t="s">
        <v>24</v>
      </c>
    </row>
    <row r="35" spans="1:9" s="1" customFormat="1">
      <c r="A35" s="17">
        <f>IF(C35&lt;&gt;"",1+MAX(A$5:A34),"")</f>
        <v>26</v>
      </c>
      <c r="B35" s="25" t="s">
        <v>35</v>
      </c>
      <c r="C35" s="19">
        <v>9084.1905000000006</v>
      </c>
      <c r="D35" s="20" t="s">
        <v>24</v>
      </c>
    </row>
    <row r="36" spans="1:9" s="1" customFormat="1">
      <c r="A36" s="17">
        <f>IF(C36&lt;&gt;"",1+MAX(A$5:A35),"")</f>
        <v>27</v>
      </c>
      <c r="B36" s="25" t="s">
        <v>36</v>
      </c>
      <c r="C36" s="19">
        <v>368.11950000000002</v>
      </c>
      <c r="D36" s="20" t="s">
        <v>24</v>
      </c>
    </row>
    <row r="37" spans="1:9" s="1" customFormat="1">
      <c r="A37" s="17" t="str">
        <f>IF(C37&lt;&gt;"",1+MAX(A$5:A36),"")</f>
        <v/>
      </c>
      <c r="B37" s="18"/>
      <c r="C37" s="19"/>
      <c r="D37" s="22"/>
    </row>
    <row r="38" spans="1:9" s="1" customFormat="1">
      <c r="A38" s="17" t="str">
        <f>IF(C38&lt;&gt;"",1+MAX(A$5:A37),"")</f>
        <v/>
      </c>
      <c r="B38" s="24" t="s">
        <v>37</v>
      </c>
      <c r="C38" s="19"/>
      <c r="D38" s="22"/>
    </row>
    <row r="39" spans="1:9" s="1" customFormat="1">
      <c r="A39" s="17">
        <f>IF(C39&lt;&gt;"",1+MAX(A$5:A38),"")</f>
        <v>28</v>
      </c>
      <c r="B39" s="18" t="s">
        <v>38</v>
      </c>
      <c r="C39" s="19">
        <v>32.340000000000003</v>
      </c>
      <c r="D39" s="20" t="s">
        <v>24</v>
      </c>
    </row>
    <row r="40" spans="1:9" s="47" customFormat="1" ht="15.75" customHeight="1">
      <c r="A40" s="60"/>
      <c r="B40" s="52" t="s">
        <v>160</v>
      </c>
      <c r="C40" s="61">
        <v>1</v>
      </c>
      <c r="D40" s="46" t="s">
        <v>11</v>
      </c>
    </row>
    <row r="41" spans="1:9" s="47" customFormat="1" ht="15.75" customHeight="1">
      <c r="A41" s="60"/>
      <c r="B41" s="52" t="s">
        <v>161</v>
      </c>
      <c r="C41" s="61">
        <v>1</v>
      </c>
      <c r="D41" s="46" t="s">
        <v>11</v>
      </c>
    </row>
    <row r="42" spans="1:9" s="47" customFormat="1" ht="15.75" customHeight="1">
      <c r="A42" s="60"/>
      <c r="B42" s="52" t="s">
        <v>162</v>
      </c>
      <c r="C42" s="61">
        <v>4</v>
      </c>
      <c r="D42" s="46" t="s">
        <v>11</v>
      </c>
    </row>
    <row r="43" spans="1:9" s="47" customFormat="1" ht="15.75" customHeight="1">
      <c r="A43" s="60"/>
      <c r="B43" s="52" t="s">
        <v>163</v>
      </c>
      <c r="C43" s="61">
        <v>1</v>
      </c>
      <c r="D43" s="46" t="s">
        <v>11</v>
      </c>
    </row>
    <row r="44" spans="1:9" s="1" customFormat="1">
      <c r="A44" s="17">
        <f>IF(C44&lt;&gt;"",1+MAX(A$5:A39),"")</f>
        <v>29</v>
      </c>
      <c r="B44" s="18" t="s">
        <v>39</v>
      </c>
      <c r="C44" s="19">
        <v>178.75200000000001</v>
      </c>
      <c r="D44" s="20" t="s">
        <v>24</v>
      </c>
    </row>
    <row r="45" spans="1:9" s="48" customFormat="1">
      <c r="A45" s="51"/>
      <c r="B45" s="52" t="s">
        <v>164</v>
      </c>
      <c r="C45" s="61">
        <v>4</v>
      </c>
      <c r="D45" s="46" t="s">
        <v>11</v>
      </c>
      <c r="E45" s="47"/>
      <c r="F45" s="47"/>
      <c r="H45" s="53"/>
      <c r="I45" s="54"/>
    </row>
    <row r="46" spans="1:9" s="48" customFormat="1">
      <c r="A46" s="51"/>
      <c r="B46" s="52" t="s">
        <v>165</v>
      </c>
      <c r="C46" s="61">
        <v>18</v>
      </c>
      <c r="D46" s="46" t="s">
        <v>11</v>
      </c>
      <c r="E46" s="47"/>
      <c r="F46" s="47"/>
      <c r="H46" s="49"/>
      <c r="I46" s="50"/>
    </row>
    <row r="47" spans="1:9" s="48" customFormat="1">
      <c r="A47" s="51"/>
      <c r="B47" s="52" t="s">
        <v>166</v>
      </c>
      <c r="C47" s="61">
        <v>18</v>
      </c>
      <c r="D47" s="46" t="s">
        <v>11</v>
      </c>
      <c r="E47" s="47"/>
      <c r="F47" s="47"/>
      <c r="H47" s="49"/>
      <c r="I47" s="55"/>
    </row>
    <row r="48" spans="1:9" s="1" customFormat="1">
      <c r="A48" s="17">
        <f>IF(C48&lt;&gt;"",1+MAX(A$5:A44),"")</f>
        <v>30</v>
      </c>
      <c r="B48" s="18" t="s">
        <v>40</v>
      </c>
      <c r="C48" s="19">
        <v>1688.6100000000001</v>
      </c>
      <c r="D48" s="20" t="s">
        <v>24</v>
      </c>
    </row>
    <row r="49" spans="1:9" s="48" customFormat="1">
      <c r="A49" s="51"/>
      <c r="B49" s="52" t="s">
        <v>167</v>
      </c>
      <c r="C49" s="61">
        <v>34</v>
      </c>
      <c r="D49" s="46" t="s">
        <v>11</v>
      </c>
      <c r="E49" s="47"/>
      <c r="F49" s="47"/>
      <c r="H49" s="53"/>
      <c r="I49" s="54"/>
    </row>
    <row r="50" spans="1:9" s="48" customFormat="1">
      <c r="A50" s="51"/>
      <c r="B50" s="52" t="s">
        <v>168</v>
      </c>
      <c r="C50" s="61">
        <v>169</v>
      </c>
      <c r="D50" s="46" t="s">
        <v>11</v>
      </c>
      <c r="E50" s="47"/>
      <c r="F50" s="47"/>
      <c r="H50" s="49"/>
      <c r="I50" s="50"/>
    </row>
    <row r="51" spans="1:9" s="48" customFormat="1">
      <c r="A51" s="51"/>
      <c r="B51" s="52" t="s">
        <v>169</v>
      </c>
      <c r="C51" s="61">
        <v>169</v>
      </c>
      <c r="D51" s="46" t="s">
        <v>11</v>
      </c>
      <c r="E51" s="47"/>
      <c r="F51" s="47"/>
      <c r="H51" s="49"/>
      <c r="I51" s="55"/>
    </row>
    <row r="52" spans="1:9" s="1" customFormat="1">
      <c r="A52" s="17">
        <f>IF(C52&lt;&gt;"",1+MAX(A$5:A48),"")</f>
        <v>31</v>
      </c>
      <c r="B52" s="18" t="s">
        <v>41</v>
      </c>
      <c r="C52" s="19">
        <v>1337.5740000000001</v>
      </c>
      <c r="D52" s="20" t="s">
        <v>24</v>
      </c>
    </row>
    <row r="53" spans="1:9" s="47" customFormat="1" ht="15.75" customHeight="1">
      <c r="A53" s="60"/>
      <c r="B53" s="52" t="s">
        <v>170</v>
      </c>
      <c r="C53" s="61">
        <v>21</v>
      </c>
      <c r="D53" s="46" t="s">
        <v>11</v>
      </c>
    </row>
    <row r="54" spans="1:9" s="47" customFormat="1" ht="15.75" customHeight="1">
      <c r="A54" s="60"/>
      <c r="B54" s="52" t="s">
        <v>171</v>
      </c>
      <c r="C54" s="61">
        <v>27</v>
      </c>
      <c r="D54" s="46" t="s">
        <v>11</v>
      </c>
    </row>
    <row r="55" spans="1:9" s="47" customFormat="1" ht="15.75" customHeight="1">
      <c r="A55" s="60"/>
      <c r="B55" s="52" t="s">
        <v>172</v>
      </c>
      <c r="C55" s="61">
        <v>134</v>
      </c>
      <c r="D55" s="46" t="s">
        <v>11</v>
      </c>
    </row>
    <row r="56" spans="1:9" s="47" customFormat="1" ht="15.75" customHeight="1">
      <c r="A56" s="60"/>
      <c r="B56" s="52" t="s">
        <v>173</v>
      </c>
      <c r="C56" s="61">
        <v>27</v>
      </c>
      <c r="D56" s="46" t="s">
        <v>11</v>
      </c>
    </row>
    <row r="57" spans="1:9" s="1" customFormat="1">
      <c r="A57" s="17">
        <f>IF(C57&lt;&gt;"",1+MAX(A$5:A52),"")</f>
        <v>32</v>
      </c>
      <c r="B57" s="18" t="s">
        <v>42</v>
      </c>
      <c r="C57" s="19">
        <v>50.694000000000003</v>
      </c>
      <c r="D57" s="20" t="s">
        <v>24</v>
      </c>
    </row>
    <row r="58" spans="1:9" s="48" customFormat="1">
      <c r="A58" s="51"/>
      <c r="B58" s="52" t="s">
        <v>174</v>
      </c>
      <c r="C58" s="61">
        <v>2</v>
      </c>
      <c r="D58" s="46" t="s">
        <v>11</v>
      </c>
      <c r="E58" s="47"/>
      <c r="F58" s="47"/>
      <c r="H58" s="53"/>
      <c r="I58" s="54"/>
    </row>
    <row r="59" spans="1:9" s="48" customFormat="1">
      <c r="A59" s="51"/>
      <c r="B59" s="52" t="s">
        <v>175</v>
      </c>
      <c r="C59" s="61">
        <v>6</v>
      </c>
      <c r="D59" s="46" t="s">
        <v>11</v>
      </c>
      <c r="E59" s="47"/>
      <c r="F59" s="47"/>
      <c r="H59" s="49"/>
      <c r="I59" s="50"/>
    </row>
    <row r="60" spans="1:9" s="48" customFormat="1">
      <c r="A60" s="51"/>
      <c r="B60" s="52" t="s">
        <v>176</v>
      </c>
      <c r="C60" s="61">
        <v>6</v>
      </c>
      <c r="D60" s="46" t="s">
        <v>11</v>
      </c>
      <c r="E60" s="47"/>
      <c r="F60" s="47"/>
      <c r="H60" s="49"/>
      <c r="I60" s="55"/>
    </row>
    <row r="61" spans="1:9" s="1" customFormat="1">
      <c r="A61" s="17">
        <f>IF(C61&lt;&gt;"",1+MAX(A$5:A57),"")</f>
        <v>33</v>
      </c>
      <c r="B61" s="18" t="s">
        <v>43</v>
      </c>
      <c r="C61" s="19">
        <v>126.16800000000001</v>
      </c>
      <c r="D61" s="20" t="s">
        <v>24</v>
      </c>
    </row>
    <row r="62" spans="1:9" s="47" customFormat="1" ht="15.75" customHeight="1">
      <c r="A62" s="60"/>
      <c r="B62" s="52" t="s">
        <v>177</v>
      </c>
      <c r="C62" s="61">
        <v>2</v>
      </c>
      <c r="D62" s="46" t="s">
        <v>11</v>
      </c>
    </row>
    <row r="63" spans="1:9" s="47" customFormat="1" ht="15.75" customHeight="1">
      <c r="A63" s="60"/>
      <c r="B63" s="52" t="s">
        <v>178</v>
      </c>
      <c r="C63" s="61">
        <v>3</v>
      </c>
      <c r="D63" s="46" t="s">
        <v>11</v>
      </c>
    </row>
    <row r="64" spans="1:9" s="47" customFormat="1" ht="15.75" customHeight="1">
      <c r="A64" s="60"/>
      <c r="B64" s="52" t="s">
        <v>179</v>
      </c>
      <c r="C64" s="61">
        <v>13</v>
      </c>
      <c r="D64" s="46" t="s">
        <v>11</v>
      </c>
    </row>
    <row r="65" spans="1:9" s="47" customFormat="1" ht="15.75" customHeight="1">
      <c r="A65" s="60"/>
      <c r="B65" s="52" t="s">
        <v>180</v>
      </c>
      <c r="C65" s="61">
        <v>3</v>
      </c>
      <c r="D65" s="46" t="s">
        <v>11</v>
      </c>
    </row>
    <row r="66" spans="1:9" s="1" customFormat="1">
      <c r="A66" s="17">
        <f>IF(C66&lt;&gt;"",1+MAX(A$5:A61),"")</f>
        <v>34</v>
      </c>
      <c r="B66" s="18" t="s">
        <v>44</v>
      </c>
      <c r="C66" s="19">
        <v>228.58500000000001</v>
      </c>
      <c r="D66" s="20" t="s">
        <v>24</v>
      </c>
    </row>
    <row r="67" spans="1:9" s="48" customFormat="1">
      <c r="A67" s="51"/>
      <c r="B67" s="52" t="s">
        <v>181</v>
      </c>
      <c r="C67" s="61">
        <v>5</v>
      </c>
      <c r="D67" s="46" t="s">
        <v>11</v>
      </c>
      <c r="E67" s="47"/>
      <c r="F67" s="47"/>
      <c r="H67" s="53"/>
      <c r="I67" s="54"/>
    </row>
    <row r="68" spans="1:9" s="48" customFormat="1">
      <c r="A68" s="51"/>
      <c r="B68" s="52" t="s">
        <v>182</v>
      </c>
      <c r="C68" s="61">
        <v>23</v>
      </c>
      <c r="D68" s="46" t="s">
        <v>11</v>
      </c>
      <c r="E68" s="47"/>
      <c r="F68" s="47"/>
      <c r="H68" s="49"/>
      <c r="I68" s="50"/>
    </row>
    <row r="69" spans="1:9" s="48" customFormat="1">
      <c r="A69" s="51"/>
      <c r="B69" s="52" t="s">
        <v>183</v>
      </c>
      <c r="C69" s="61">
        <v>23</v>
      </c>
      <c r="D69" s="46" t="s">
        <v>11</v>
      </c>
      <c r="E69" s="47"/>
      <c r="F69" s="47"/>
      <c r="H69" s="49"/>
      <c r="I69" s="55"/>
    </row>
    <row r="70" spans="1:9" s="1" customFormat="1">
      <c r="A70" s="17">
        <f>IF(C70&lt;&gt;"",1+MAX(A$5:A66),"")</f>
        <v>35</v>
      </c>
      <c r="B70" s="18" t="s">
        <v>45</v>
      </c>
      <c r="C70" s="19">
        <v>720.62549999999999</v>
      </c>
      <c r="D70" s="20" t="s">
        <v>24</v>
      </c>
    </row>
    <row r="71" spans="1:9" s="48" customFormat="1">
      <c r="A71" s="51"/>
      <c r="B71" s="52" t="s">
        <v>154</v>
      </c>
      <c r="C71" s="61">
        <v>15</v>
      </c>
      <c r="D71" s="46" t="s">
        <v>11</v>
      </c>
      <c r="E71" s="47"/>
      <c r="F71" s="47"/>
      <c r="H71" s="53"/>
      <c r="I71" s="54"/>
    </row>
    <row r="72" spans="1:9" s="48" customFormat="1">
      <c r="A72" s="51"/>
      <c r="B72" s="52" t="s">
        <v>155</v>
      </c>
      <c r="C72" s="61">
        <v>73</v>
      </c>
      <c r="D72" s="46" t="s">
        <v>11</v>
      </c>
      <c r="E72" s="47"/>
      <c r="F72" s="47"/>
      <c r="H72" s="49"/>
      <c r="I72" s="50"/>
    </row>
    <row r="73" spans="1:9" s="48" customFormat="1">
      <c r="A73" s="51"/>
      <c r="B73" s="52" t="s">
        <v>156</v>
      </c>
      <c r="C73" s="61">
        <v>73</v>
      </c>
      <c r="D73" s="46" t="s">
        <v>11</v>
      </c>
      <c r="E73" s="47"/>
      <c r="F73" s="47"/>
      <c r="H73" s="49"/>
      <c r="I73" s="55"/>
    </row>
    <row r="74" spans="1:9" s="1" customFormat="1">
      <c r="A74" s="17">
        <f>IF(C74&lt;&gt;"",1+MAX(A$5:A70),"")</f>
        <v>36</v>
      </c>
      <c r="B74" s="18" t="s">
        <v>46</v>
      </c>
      <c r="C74" s="19">
        <v>668.87099999999998</v>
      </c>
      <c r="D74" s="20" t="s">
        <v>24</v>
      </c>
    </row>
    <row r="75" spans="1:9" s="48" customFormat="1">
      <c r="A75" s="51"/>
      <c r="B75" s="52" t="s">
        <v>184</v>
      </c>
      <c r="C75" s="61">
        <v>14</v>
      </c>
      <c r="D75" s="46" t="s">
        <v>11</v>
      </c>
      <c r="E75" s="47"/>
      <c r="F75" s="47"/>
      <c r="H75" s="53"/>
      <c r="I75" s="54"/>
    </row>
    <row r="76" spans="1:9" s="48" customFormat="1">
      <c r="A76" s="51"/>
      <c r="B76" s="52" t="s">
        <v>185</v>
      </c>
      <c r="C76" s="61">
        <v>67</v>
      </c>
      <c r="D76" s="46" t="s">
        <v>11</v>
      </c>
      <c r="E76" s="47"/>
      <c r="F76" s="47"/>
      <c r="H76" s="49"/>
      <c r="I76" s="50"/>
    </row>
    <row r="77" spans="1:9" s="48" customFormat="1">
      <c r="A77" s="51"/>
      <c r="B77" s="52" t="s">
        <v>186</v>
      </c>
      <c r="C77" s="61">
        <v>67</v>
      </c>
      <c r="D77" s="46" t="s">
        <v>11</v>
      </c>
      <c r="E77" s="47"/>
      <c r="F77" s="47"/>
      <c r="H77" s="49"/>
      <c r="I77" s="55"/>
    </row>
    <row r="78" spans="1:9" s="1" customFormat="1">
      <c r="A78" s="17">
        <f>IF(C78&lt;&gt;"",1+MAX(A$5:A74),"")</f>
        <v>37</v>
      </c>
      <c r="B78" s="18" t="s">
        <v>47</v>
      </c>
      <c r="C78" s="19">
        <v>14.983499999999999</v>
      </c>
      <c r="D78" s="20" t="s">
        <v>24</v>
      </c>
    </row>
    <row r="79" spans="1:9" s="48" customFormat="1">
      <c r="A79" s="51"/>
      <c r="B79" s="52" t="s">
        <v>187</v>
      </c>
      <c r="C79" s="61">
        <v>1</v>
      </c>
      <c r="D79" s="46" t="s">
        <v>11</v>
      </c>
      <c r="E79" s="47"/>
      <c r="F79" s="47"/>
      <c r="H79" s="53"/>
      <c r="I79" s="54"/>
    </row>
    <row r="80" spans="1:9" s="48" customFormat="1">
      <c r="A80" s="51"/>
      <c r="B80" s="52" t="s">
        <v>188</v>
      </c>
      <c r="C80" s="61">
        <v>2</v>
      </c>
      <c r="D80" s="46" t="s">
        <v>11</v>
      </c>
      <c r="E80" s="47"/>
      <c r="F80" s="47"/>
      <c r="H80" s="49"/>
      <c r="I80" s="50"/>
    </row>
    <row r="81" spans="1:9" s="48" customFormat="1">
      <c r="A81" s="51"/>
      <c r="B81" s="52" t="s">
        <v>189</v>
      </c>
      <c r="C81" s="61">
        <v>2</v>
      </c>
      <c r="D81" s="46" t="s">
        <v>11</v>
      </c>
      <c r="E81" s="47"/>
      <c r="F81" s="47"/>
      <c r="H81" s="49"/>
      <c r="I81" s="55"/>
    </row>
    <row r="82" spans="1:9" s="1" customFormat="1">
      <c r="A82" s="17">
        <f>IF(C82&lt;&gt;"",1+MAX(A$5:A78),"")</f>
        <v>38</v>
      </c>
      <c r="B82" s="18" t="s">
        <v>48</v>
      </c>
      <c r="C82" s="19">
        <v>173.54400000000001</v>
      </c>
      <c r="D82" s="20" t="s">
        <v>24</v>
      </c>
    </row>
    <row r="83" spans="1:9" s="48" customFormat="1">
      <c r="A83" s="51"/>
      <c r="B83" s="52" t="s">
        <v>190</v>
      </c>
      <c r="C83" s="61">
        <v>4</v>
      </c>
      <c r="D83" s="46" t="s">
        <v>11</v>
      </c>
      <c r="E83" s="47"/>
      <c r="F83" s="47"/>
      <c r="H83" s="53"/>
      <c r="I83" s="54"/>
    </row>
    <row r="84" spans="1:9" s="48" customFormat="1">
      <c r="A84" s="51"/>
      <c r="B84" s="52" t="s">
        <v>191</v>
      </c>
      <c r="C84" s="61">
        <v>18</v>
      </c>
      <c r="D84" s="46" t="s">
        <v>11</v>
      </c>
      <c r="E84" s="47"/>
      <c r="F84" s="47"/>
      <c r="H84" s="49"/>
      <c r="I84" s="50"/>
    </row>
    <row r="85" spans="1:9" s="48" customFormat="1">
      <c r="A85" s="51"/>
      <c r="B85" s="52" t="s">
        <v>192</v>
      </c>
      <c r="C85" s="61">
        <v>18</v>
      </c>
      <c r="D85" s="46" t="s">
        <v>11</v>
      </c>
      <c r="E85" s="47"/>
      <c r="F85" s="47"/>
      <c r="H85" s="49"/>
      <c r="I85" s="55"/>
    </row>
    <row r="86" spans="1:9" s="1" customFormat="1">
      <c r="A86" s="17">
        <f>IF(C86&lt;&gt;"",1+MAX(A$5:A82),"")</f>
        <v>39</v>
      </c>
      <c r="B86" s="18" t="s">
        <v>49</v>
      </c>
      <c r="C86" s="19">
        <v>6.3420000000000005</v>
      </c>
      <c r="D86" s="20" t="s">
        <v>24</v>
      </c>
    </row>
    <row r="87" spans="1:9" s="48" customFormat="1">
      <c r="A87" s="51"/>
      <c r="B87" s="52" t="s">
        <v>193</v>
      </c>
      <c r="C87" s="61">
        <v>1</v>
      </c>
      <c r="D87" s="46" t="s">
        <v>11</v>
      </c>
      <c r="E87" s="47"/>
      <c r="F87" s="47"/>
      <c r="H87" s="53"/>
      <c r="I87" s="54"/>
    </row>
    <row r="88" spans="1:9" s="48" customFormat="1">
      <c r="A88" s="51"/>
      <c r="B88" s="52" t="s">
        <v>194</v>
      </c>
      <c r="C88" s="61">
        <v>1</v>
      </c>
      <c r="D88" s="46" t="s">
        <v>11</v>
      </c>
      <c r="E88" s="47"/>
      <c r="F88" s="47"/>
      <c r="H88" s="49"/>
      <c r="I88" s="50"/>
    </row>
    <row r="89" spans="1:9" s="48" customFormat="1">
      <c r="A89" s="51"/>
      <c r="B89" s="52" t="s">
        <v>195</v>
      </c>
      <c r="C89" s="61">
        <v>1</v>
      </c>
      <c r="D89" s="46" t="s">
        <v>11</v>
      </c>
      <c r="E89" s="47"/>
      <c r="F89" s="47"/>
      <c r="H89" s="49"/>
      <c r="I89" s="55"/>
    </row>
    <row r="90" spans="1:9" s="1" customFormat="1">
      <c r="A90" s="17">
        <f>IF(C90&lt;&gt;"",1+MAX(A$5:A86),"")</f>
        <v>40</v>
      </c>
      <c r="B90" s="18" t="s">
        <v>50</v>
      </c>
      <c r="C90" s="19">
        <v>1693.4295</v>
      </c>
      <c r="D90" s="20" t="s">
        <v>24</v>
      </c>
    </row>
    <row r="91" spans="1:9" s="48" customFormat="1">
      <c r="A91" s="51"/>
      <c r="B91" s="52" t="s">
        <v>157</v>
      </c>
      <c r="C91" s="61">
        <v>34</v>
      </c>
      <c r="D91" s="46" t="s">
        <v>11</v>
      </c>
      <c r="E91" s="47"/>
      <c r="F91" s="47"/>
      <c r="H91" s="53"/>
      <c r="I91" s="54"/>
    </row>
    <row r="92" spans="1:9" s="48" customFormat="1">
      <c r="A92" s="51"/>
      <c r="B92" s="52" t="s">
        <v>158</v>
      </c>
      <c r="C92" s="61">
        <v>170</v>
      </c>
      <c r="D92" s="46" t="s">
        <v>11</v>
      </c>
      <c r="E92" s="47"/>
      <c r="F92" s="47"/>
      <c r="H92" s="49"/>
      <c r="I92" s="50"/>
    </row>
    <row r="93" spans="1:9" s="48" customFormat="1">
      <c r="A93" s="51"/>
      <c r="B93" s="52" t="s">
        <v>159</v>
      </c>
      <c r="C93" s="61">
        <v>170</v>
      </c>
      <c r="D93" s="46" t="s">
        <v>11</v>
      </c>
      <c r="E93" s="47"/>
      <c r="F93" s="47"/>
      <c r="H93" s="49"/>
      <c r="I93" s="55"/>
    </row>
    <row r="94" spans="1:9" s="1" customFormat="1">
      <c r="A94" s="17">
        <f>IF(C94&lt;&gt;"",1+MAX(A$5:A90),"")</f>
        <v>41</v>
      </c>
      <c r="B94" s="18" t="s">
        <v>51</v>
      </c>
      <c r="C94" s="19">
        <v>25.200000000000003</v>
      </c>
      <c r="D94" s="20" t="s">
        <v>24</v>
      </c>
    </row>
    <row r="95" spans="1:9" s="48" customFormat="1">
      <c r="A95" s="51"/>
      <c r="B95" s="52" t="s">
        <v>196</v>
      </c>
      <c r="C95" s="61">
        <v>1</v>
      </c>
      <c r="D95" s="46" t="s">
        <v>11</v>
      </c>
      <c r="E95" s="47"/>
      <c r="F95" s="47"/>
      <c r="H95" s="53"/>
      <c r="I95" s="54"/>
    </row>
    <row r="96" spans="1:9" s="48" customFormat="1">
      <c r="A96" s="51"/>
      <c r="B96" s="52" t="s">
        <v>197</v>
      </c>
      <c r="C96" s="61">
        <v>3</v>
      </c>
      <c r="D96" s="46" t="s">
        <v>11</v>
      </c>
      <c r="E96" s="47"/>
      <c r="F96" s="47"/>
      <c r="H96" s="49"/>
      <c r="I96" s="50"/>
    </row>
    <row r="97" spans="1:9" s="48" customFormat="1">
      <c r="A97" s="51"/>
      <c r="B97" s="52" t="s">
        <v>198</v>
      </c>
      <c r="C97" s="61">
        <v>3</v>
      </c>
      <c r="D97" s="46" t="s">
        <v>11</v>
      </c>
      <c r="E97" s="47"/>
      <c r="F97" s="47"/>
      <c r="H97" s="49"/>
      <c r="I97" s="55"/>
    </row>
    <row r="98" spans="1:9" s="1" customFormat="1">
      <c r="A98" s="17">
        <f>IF(C98&lt;&gt;"",1+MAX(A$5:A94),"")</f>
        <v>42</v>
      </c>
      <c r="B98" s="18" t="s">
        <v>52</v>
      </c>
      <c r="C98" s="19">
        <v>3524.5665000000004</v>
      </c>
      <c r="D98" s="20" t="s">
        <v>24</v>
      </c>
    </row>
    <row r="99" spans="1:9" s="48" customFormat="1">
      <c r="A99" s="51"/>
      <c r="B99" s="52" t="s">
        <v>199</v>
      </c>
      <c r="C99" s="61">
        <v>71</v>
      </c>
      <c r="D99" s="46" t="s">
        <v>11</v>
      </c>
      <c r="E99" s="47"/>
      <c r="F99" s="47"/>
      <c r="H99" s="53"/>
      <c r="I99" s="54"/>
    </row>
    <row r="100" spans="1:9" s="48" customFormat="1">
      <c r="A100" s="51"/>
      <c r="B100" s="52" t="s">
        <v>200</v>
      </c>
      <c r="C100" s="61">
        <v>353</v>
      </c>
      <c r="D100" s="46" t="s">
        <v>11</v>
      </c>
      <c r="E100" s="47"/>
      <c r="F100" s="47"/>
      <c r="H100" s="49"/>
      <c r="I100" s="50"/>
    </row>
    <row r="101" spans="1:9" s="48" customFormat="1">
      <c r="A101" s="51"/>
      <c r="B101" s="52" t="s">
        <v>201</v>
      </c>
      <c r="C101" s="61">
        <v>353</v>
      </c>
      <c r="D101" s="46" t="s">
        <v>11</v>
      </c>
      <c r="E101" s="47"/>
      <c r="F101" s="47"/>
      <c r="H101" s="49"/>
      <c r="I101" s="55"/>
    </row>
    <row r="102" spans="1:9" s="42" customFormat="1">
      <c r="A102" s="39"/>
      <c r="B102" s="40" t="s">
        <v>150</v>
      </c>
      <c r="C102" s="41"/>
      <c r="D102" s="39"/>
    </row>
    <row r="103" spans="1:9" s="48" customFormat="1">
      <c r="A103" s="43"/>
      <c r="B103" s="44" t="s">
        <v>151</v>
      </c>
      <c r="C103" s="45">
        <v>449</v>
      </c>
      <c r="D103" s="46" t="s">
        <v>11</v>
      </c>
      <c r="E103" s="47"/>
      <c r="F103" s="47"/>
      <c r="H103" s="49"/>
      <c r="I103" s="50"/>
    </row>
    <row r="104" spans="1:9" s="48" customFormat="1">
      <c r="A104" s="43"/>
      <c r="B104" s="44" t="s">
        <v>152</v>
      </c>
      <c r="C104" s="45">
        <v>449</v>
      </c>
      <c r="D104" s="46" t="s">
        <v>11</v>
      </c>
      <c r="E104" s="47"/>
      <c r="F104" s="47"/>
      <c r="H104" s="49"/>
      <c r="I104" s="50"/>
    </row>
    <row r="105" spans="1:9" s="48" customFormat="1">
      <c r="A105" s="51"/>
      <c r="B105" s="52" t="s">
        <v>153</v>
      </c>
      <c r="C105" s="45">
        <v>90</v>
      </c>
      <c r="D105" s="46" t="s">
        <v>11</v>
      </c>
      <c r="E105" s="47"/>
      <c r="F105" s="47"/>
      <c r="H105" s="49"/>
      <c r="I105" s="50"/>
    </row>
    <row r="106" spans="1:9" s="1" customFormat="1">
      <c r="A106" s="17" t="str">
        <f>IF(C106&lt;&gt;"",1+MAX(A$5:A98),"")</f>
        <v/>
      </c>
      <c r="B106" s="18"/>
      <c r="C106" s="19"/>
      <c r="D106" s="22"/>
    </row>
    <row r="107" spans="1:9" s="1" customFormat="1">
      <c r="A107" s="17" t="str">
        <f>IF(C107&lt;&gt;"",1+MAX(A$5:A106),"")</f>
        <v/>
      </c>
      <c r="B107" s="24" t="s">
        <v>53</v>
      </c>
      <c r="C107" s="15"/>
      <c r="D107" s="22"/>
    </row>
    <row r="108" spans="1:9" s="1" customFormat="1" ht="28.8">
      <c r="A108" s="17">
        <f>IF(C108&lt;&gt;"",1+MAX(A$5:A107),"")</f>
        <v>43</v>
      </c>
      <c r="B108" s="18" t="s">
        <v>54</v>
      </c>
      <c r="C108" s="19">
        <v>207.44</v>
      </c>
      <c r="D108" s="20" t="s">
        <v>55</v>
      </c>
    </row>
    <row r="109" spans="1:9" s="1" customFormat="1">
      <c r="A109" s="17" t="str">
        <f>IF(C109&lt;&gt;"",1+MAX(A$5:A108),"")</f>
        <v/>
      </c>
      <c r="B109" s="18"/>
      <c r="C109" s="19"/>
      <c r="D109" s="22"/>
    </row>
    <row r="110" spans="1:9" s="1" customFormat="1">
      <c r="A110" s="17" t="str">
        <f>IF(C110&lt;&gt;"",1+MAX(A$5:A109),"")</f>
        <v/>
      </c>
      <c r="B110" s="24" t="s">
        <v>56</v>
      </c>
      <c r="C110" s="19"/>
      <c r="D110" s="22"/>
    </row>
    <row r="111" spans="1:9" s="1" customFormat="1">
      <c r="A111" s="17">
        <f>IF(C111&lt;&gt;"",1+MAX(A$5:A110),"")</f>
        <v>44</v>
      </c>
      <c r="B111" s="18" t="s">
        <v>57</v>
      </c>
      <c r="C111" s="19">
        <v>140</v>
      </c>
      <c r="D111" s="20" t="s">
        <v>24</v>
      </c>
    </row>
    <row r="112" spans="1:9" s="1" customFormat="1">
      <c r="A112" s="17">
        <f>IF(C112&lt;&gt;"",1+MAX(A$5:A111),"")</f>
        <v>45</v>
      </c>
      <c r="B112" s="18" t="s">
        <v>58</v>
      </c>
      <c r="C112" s="19">
        <v>20</v>
      </c>
      <c r="D112" s="20" t="s">
        <v>24</v>
      </c>
    </row>
    <row r="113" spans="1:4" s="1" customFormat="1">
      <c r="A113" s="17">
        <f>IF(C113&lt;&gt;"",1+MAX(A$5:A112),"")</f>
        <v>46</v>
      </c>
      <c r="B113" s="18" t="s">
        <v>59</v>
      </c>
      <c r="C113" s="19">
        <v>40</v>
      </c>
      <c r="D113" s="20" t="s">
        <v>24</v>
      </c>
    </row>
    <row r="114" spans="1:4" s="1" customFormat="1">
      <c r="A114" s="17">
        <f>IF(C114&lt;&gt;"",1+MAX(A$5:A113),"")</f>
        <v>47</v>
      </c>
      <c r="B114" s="18" t="s">
        <v>60</v>
      </c>
      <c r="C114" s="19">
        <v>3</v>
      </c>
      <c r="D114" s="20" t="s">
        <v>11</v>
      </c>
    </row>
    <row r="115" spans="1:4" s="1" customFormat="1">
      <c r="A115" s="17">
        <f>IF(C115&lt;&gt;"",1+MAX(A$5:A114),"")</f>
        <v>48</v>
      </c>
      <c r="B115" s="18" t="s">
        <v>61</v>
      </c>
      <c r="C115" s="19">
        <v>1</v>
      </c>
      <c r="D115" s="20" t="s">
        <v>11</v>
      </c>
    </row>
    <row r="116" spans="1:4" s="1" customFormat="1">
      <c r="A116" s="17">
        <f>IF(C116&lt;&gt;"",1+MAX(A$5:A115),"")</f>
        <v>49</v>
      </c>
      <c r="B116" s="18" t="s">
        <v>62</v>
      </c>
      <c r="C116" s="19">
        <v>5</v>
      </c>
      <c r="D116" s="20" t="s">
        <v>11</v>
      </c>
    </row>
    <row r="117" spans="1:4" s="1" customFormat="1">
      <c r="A117" s="17">
        <f>IF(C117&lt;&gt;"",1+MAX(A$5:A116),"")</f>
        <v>50</v>
      </c>
      <c r="B117" s="18" t="s">
        <v>63</v>
      </c>
      <c r="C117" s="19">
        <v>19</v>
      </c>
      <c r="D117" s="20" t="s">
        <v>11</v>
      </c>
    </row>
    <row r="118" spans="1:4" s="1" customFormat="1">
      <c r="A118" s="17" t="str">
        <f>IF(C118&lt;&gt;"",1+MAX(A$5:A117),"")</f>
        <v/>
      </c>
      <c r="B118" s="18"/>
      <c r="C118" s="19"/>
      <c r="D118" s="22"/>
    </row>
    <row r="119" spans="1:4" s="2" customFormat="1">
      <c r="A119" s="17" t="str">
        <f>IF(C119&lt;&gt;"",1+MAX(A$5:A118),"")</f>
        <v/>
      </c>
      <c r="B119" s="23" t="s">
        <v>64</v>
      </c>
      <c r="C119" s="19"/>
      <c r="D119" s="26"/>
    </row>
    <row r="120" spans="1:4" s="1" customFormat="1" ht="28.8">
      <c r="A120" s="17">
        <f>IF(C120&lt;&gt;"",1+MAX(A$5:A119),"")</f>
        <v>51</v>
      </c>
      <c r="B120" s="18" t="s">
        <v>65</v>
      </c>
      <c r="C120" s="19">
        <v>1</v>
      </c>
      <c r="D120" s="20" t="s">
        <v>11</v>
      </c>
    </row>
    <row r="121" spans="1:4" s="1" customFormat="1" ht="57.6">
      <c r="A121" s="17">
        <f>IF(C121&lt;&gt;"",1+MAX(A$5:A120),"")</f>
        <v>52</v>
      </c>
      <c r="B121" s="18" t="s">
        <v>66</v>
      </c>
      <c r="C121" s="19">
        <v>1</v>
      </c>
      <c r="D121" s="20" t="s">
        <v>11</v>
      </c>
    </row>
    <row r="122" spans="1:4" s="1" customFormat="1" ht="28.8">
      <c r="A122" s="17">
        <f>IF(C122&lt;&gt;"",1+MAX(A$5:A121),"")</f>
        <v>53</v>
      </c>
      <c r="B122" s="18" t="s">
        <v>67</v>
      </c>
      <c r="C122" s="19">
        <v>1</v>
      </c>
      <c r="D122" s="20" t="s">
        <v>11</v>
      </c>
    </row>
    <row r="123" spans="1:4" s="1" customFormat="1" ht="28.8">
      <c r="A123" s="17">
        <f>IF(C123&lt;&gt;"",1+MAX(A$5:A122),"")</f>
        <v>54</v>
      </c>
      <c r="B123" s="18" t="s">
        <v>68</v>
      </c>
      <c r="C123" s="19">
        <v>1</v>
      </c>
      <c r="D123" s="20" t="s">
        <v>11</v>
      </c>
    </row>
    <row r="124" spans="1:4" s="1" customFormat="1" ht="28.8">
      <c r="A124" s="17">
        <f>IF(C124&lt;&gt;"",1+MAX(A$5:A123),"")</f>
        <v>55</v>
      </c>
      <c r="B124" s="18" t="s">
        <v>69</v>
      </c>
      <c r="C124" s="19">
        <v>13</v>
      </c>
      <c r="D124" s="20" t="s">
        <v>11</v>
      </c>
    </row>
    <row r="125" spans="1:4" s="1" customFormat="1" ht="28.8">
      <c r="A125" s="17">
        <f>IF(C125&lt;&gt;"",1+MAX(A$5:A124),"")</f>
        <v>56</v>
      </c>
      <c r="B125" s="18" t="s">
        <v>70</v>
      </c>
      <c r="C125" s="19">
        <v>1</v>
      </c>
      <c r="D125" s="20" t="s">
        <v>11</v>
      </c>
    </row>
    <row r="126" spans="1:4" s="1" customFormat="1" ht="28.8">
      <c r="A126" s="17">
        <f>IF(C126&lt;&gt;"",1+MAX(A$5:A125),"")</f>
        <v>57</v>
      </c>
      <c r="B126" s="18" t="s">
        <v>71</v>
      </c>
      <c r="C126" s="19">
        <v>1</v>
      </c>
      <c r="D126" s="20" t="s">
        <v>11</v>
      </c>
    </row>
    <row r="127" spans="1:4" s="1" customFormat="1" ht="28.8">
      <c r="A127" s="17">
        <f>IF(C127&lt;&gt;"",1+MAX(A$5:A126),"")</f>
        <v>58</v>
      </c>
      <c r="B127" s="18" t="s">
        <v>72</v>
      </c>
      <c r="C127" s="19">
        <v>2</v>
      </c>
      <c r="D127" s="20" t="s">
        <v>11</v>
      </c>
    </row>
    <row r="128" spans="1:4" s="1" customFormat="1">
      <c r="A128" s="17" t="str">
        <f>IF(C128&lt;&gt;"",1+MAX(A$5:A127),"")</f>
        <v/>
      </c>
      <c r="B128" s="18"/>
      <c r="C128" s="19"/>
      <c r="D128" s="22"/>
    </row>
    <row r="129" spans="1:4" s="1" customFormat="1">
      <c r="A129" s="17" t="str">
        <f>IF(C129&lt;&gt;"",1+MAX(A$5:A128),"")</f>
        <v/>
      </c>
      <c r="B129" s="24" t="s">
        <v>73</v>
      </c>
      <c r="C129" s="19"/>
      <c r="D129" s="22"/>
    </row>
    <row r="130" spans="1:4" s="1" customFormat="1">
      <c r="A130" s="17">
        <f>IF(C130&lt;&gt;"",1+MAX(A$5:A129),"")</f>
        <v>59</v>
      </c>
      <c r="B130" s="18" t="s">
        <v>74</v>
      </c>
      <c r="C130" s="19">
        <v>1</v>
      </c>
      <c r="D130" s="20" t="s">
        <v>11</v>
      </c>
    </row>
    <row r="131" spans="1:4" s="1" customFormat="1">
      <c r="A131" s="17">
        <f>IF(C131&lt;&gt;"",1+MAX(A$5:A130),"")</f>
        <v>60</v>
      </c>
      <c r="B131" s="18" t="s">
        <v>75</v>
      </c>
      <c r="C131" s="19">
        <v>2</v>
      </c>
      <c r="D131" s="20" t="s">
        <v>11</v>
      </c>
    </row>
    <row r="132" spans="1:4" s="1" customFormat="1">
      <c r="A132" s="17">
        <f>IF(C132&lt;&gt;"",1+MAX(A$5:A131),"")</f>
        <v>61</v>
      </c>
      <c r="B132" s="18" t="s">
        <v>76</v>
      </c>
      <c r="C132" s="19">
        <v>2</v>
      </c>
      <c r="D132" s="20" t="s">
        <v>11</v>
      </c>
    </row>
    <row r="133" spans="1:4" s="1" customFormat="1">
      <c r="A133" s="17" t="str">
        <f>IF(C133&lt;&gt;"",1+MAX(A$5:A132),"")</f>
        <v/>
      </c>
      <c r="B133" s="18"/>
      <c r="C133" s="19"/>
      <c r="D133" s="22"/>
    </row>
    <row r="134" spans="1:4" s="1" customFormat="1">
      <c r="A134" s="17" t="str">
        <f>IF(C134&lt;&gt;"",1+MAX(A$5:A133),"")</f>
        <v/>
      </c>
      <c r="B134" s="24" t="s">
        <v>77</v>
      </c>
      <c r="C134" s="19"/>
      <c r="D134" s="22"/>
    </row>
    <row r="135" spans="1:4" s="1" customFormat="1">
      <c r="A135" s="17">
        <f>IF(C135&lt;&gt;"",1+MAX(A$5:A134),"")</f>
        <v>62</v>
      </c>
      <c r="B135" s="18" t="s">
        <v>78</v>
      </c>
      <c r="C135" s="19">
        <v>2</v>
      </c>
      <c r="D135" s="20" t="s">
        <v>11</v>
      </c>
    </row>
    <row r="136" spans="1:4" s="1" customFormat="1">
      <c r="A136" s="17">
        <f>IF(C136&lt;&gt;"",1+MAX(A$5:A135),"")</f>
        <v>63</v>
      </c>
      <c r="B136" s="18" t="s">
        <v>79</v>
      </c>
      <c r="C136" s="19">
        <v>4</v>
      </c>
      <c r="D136" s="20" t="s">
        <v>11</v>
      </c>
    </row>
    <row r="137" spans="1:4" s="1" customFormat="1">
      <c r="A137" s="17">
        <f>IF(C137&lt;&gt;"",1+MAX(A$5:A136),"")</f>
        <v>64</v>
      </c>
      <c r="B137" s="18" t="s">
        <v>80</v>
      </c>
      <c r="C137" s="19">
        <v>1</v>
      </c>
      <c r="D137" s="20" t="s">
        <v>11</v>
      </c>
    </row>
    <row r="138" spans="1:4" s="1" customFormat="1">
      <c r="A138" s="17">
        <f>IF(C138&lt;&gt;"",1+MAX(A$5:A137),"")</f>
        <v>65</v>
      </c>
      <c r="B138" s="18" t="s">
        <v>81</v>
      </c>
      <c r="C138" s="19">
        <v>7</v>
      </c>
      <c r="D138" s="20" t="s">
        <v>11</v>
      </c>
    </row>
    <row r="139" spans="1:4" s="1" customFormat="1">
      <c r="A139" s="17">
        <f>IF(C139&lt;&gt;"",1+MAX(A$5:A138),"")</f>
        <v>66</v>
      </c>
      <c r="B139" s="18" t="s">
        <v>82</v>
      </c>
      <c r="C139" s="19">
        <v>1</v>
      </c>
      <c r="D139" s="20" t="s">
        <v>11</v>
      </c>
    </row>
    <row r="140" spans="1:4" s="1" customFormat="1">
      <c r="A140" s="17">
        <f>IF(C140&lt;&gt;"",1+MAX(A$5:A139),"")</f>
        <v>67</v>
      </c>
      <c r="B140" s="18" t="s">
        <v>83</v>
      </c>
      <c r="C140" s="19">
        <v>1</v>
      </c>
      <c r="D140" s="20" t="s">
        <v>11</v>
      </c>
    </row>
    <row r="141" spans="1:4" s="1" customFormat="1">
      <c r="A141" s="17">
        <f>IF(C141&lt;&gt;"",1+MAX(A$5:A140),"")</f>
        <v>68</v>
      </c>
      <c r="B141" s="18" t="s">
        <v>84</v>
      </c>
      <c r="C141" s="19">
        <v>1</v>
      </c>
      <c r="D141" s="20" t="s">
        <v>11</v>
      </c>
    </row>
    <row r="142" spans="1:4" s="1" customFormat="1">
      <c r="A142" s="17">
        <f>IF(C142&lt;&gt;"",1+MAX(A$5:A141),"")</f>
        <v>69</v>
      </c>
      <c r="B142" s="18" t="s">
        <v>85</v>
      </c>
      <c r="C142" s="19">
        <v>1</v>
      </c>
      <c r="D142" s="20" t="s">
        <v>11</v>
      </c>
    </row>
    <row r="143" spans="1:4" s="1" customFormat="1">
      <c r="A143" s="17">
        <f>IF(C143&lt;&gt;"",1+MAX(A$5:A142),"")</f>
        <v>70</v>
      </c>
      <c r="B143" s="18" t="s">
        <v>86</v>
      </c>
      <c r="C143" s="19">
        <v>2</v>
      </c>
      <c r="D143" s="20" t="s">
        <v>11</v>
      </c>
    </row>
    <row r="144" spans="1:4" s="1" customFormat="1">
      <c r="A144" s="17">
        <f>IF(C144&lt;&gt;"",1+MAX(A$5:A143),"")</f>
        <v>71</v>
      </c>
      <c r="B144" s="18" t="s">
        <v>87</v>
      </c>
      <c r="C144" s="19">
        <v>1</v>
      </c>
      <c r="D144" s="20" t="s">
        <v>11</v>
      </c>
    </row>
    <row r="145" spans="1:4" s="1" customFormat="1">
      <c r="A145" s="17">
        <f>IF(C145&lt;&gt;"",1+MAX(A$5:A144),"")</f>
        <v>72</v>
      </c>
      <c r="B145" s="18" t="s">
        <v>88</v>
      </c>
      <c r="C145" s="19">
        <v>1</v>
      </c>
      <c r="D145" s="20" t="s">
        <v>11</v>
      </c>
    </row>
    <row r="146" spans="1:4" s="1" customFormat="1">
      <c r="A146" s="17">
        <f>IF(C146&lt;&gt;"",1+MAX(A$5:A145),"")</f>
        <v>73</v>
      </c>
      <c r="B146" s="18" t="s">
        <v>89</v>
      </c>
      <c r="C146" s="19">
        <v>2</v>
      </c>
      <c r="D146" s="20" t="s">
        <v>11</v>
      </c>
    </row>
    <row r="147" spans="1:4" s="1" customFormat="1">
      <c r="A147" s="17">
        <f>IF(C147&lt;&gt;"",1+MAX(A$5:A146),"")</f>
        <v>74</v>
      </c>
      <c r="B147" s="18" t="s">
        <v>90</v>
      </c>
      <c r="C147" s="19">
        <v>2</v>
      </c>
      <c r="D147" s="20" t="s">
        <v>11</v>
      </c>
    </row>
    <row r="148" spans="1:4" s="1" customFormat="1">
      <c r="A148" s="17" t="str">
        <f>IF(C148&lt;&gt;"",1+MAX(A$5:A147),"")</f>
        <v/>
      </c>
      <c r="B148" s="18"/>
      <c r="C148" s="19"/>
      <c r="D148" s="22"/>
    </row>
    <row r="149" spans="1:4" s="1" customFormat="1">
      <c r="A149" s="17" t="str">
        <f>IF(C149&lt;&gt;"",1+MAX(A$5:A148),"")</f>
        <v/>
      </c>
      <c r="B149" s="24" t="s">
        <v>91</v>
      </c>
      <c r="C149" s="19"/>
      <c r="D149" s="22"/>
    </row>
    <row r="150" spans="1:4" s="1" customFormat="1">
      <c r="A150" s="17">
        <f>IF(C150&lt;&gt;"",1+MAX(A$5:A149),"")</f>
        <v>75</v>
      </c>
      <c r="B150" s="18" t="s">
        <v>92</v>
      </c>
      <c r="C150" s="19">
        <v>1</v>
      </c>
      <c r="D150" s="20" t="s">
        <v>11</v>
      </c>
    </row>
    <row r="151" spans="1:4" s="1" customFormat="1">
      <c r="A151" s="17">
        <f>IF(C151&lt;&gt;"",1+MAX(A$5:A150),"")</f>
        <v>76</v>
      </c>
      <c r="B151" s="18" t="s">
        <v>93</v>
      </c>
      <c r="C151" s="19">
        <v>6</v>
      </c>
      <c r="D151" s="20" t="s">
        <v>11</v>
      </c>
    </row>
    <row r="152" spans="1:4" s="1" customFormat="1">
      <c r="A152" s="17">
        <f>IF(C152&lt;&gt;"",1+MAX(A$5:A151),"")</f>
        <v>77</v>
      </c>
      <c r="B152" s="18" t="s">
        <v>94</v>
      </c>
      <c r="C152" s="19">
        <v>37</v>
      </c>
      <c r="D152" s="20" t="s">
        <v>11</v>
      </c>
    </row>
    <row r="153" spans="1:4" s="1" customFormat="1">
      <c r="A153" s="17">
        <f>IF(C153&lt;&gt;"",1+MAX(A$5:A152),"")</f>
        <v>78</v>
      </c>
      <c r="B153" s="18" t="s">
        <v>95</v>
      </c>
      <c r="C153" s="19">
        <v>1</v>
      </c>
      <c r="D153" s="20" t="s">
        <v>11</v>
      </c>
    </row>
    <row r="154" spans="1:4" s="1" customFormat="1">
      <c r="A154" s="17">
        <f>IF(C154&lt;&gt;"",1+MAX(A$5:A153),"")</f>
        <v>79</v>
      </c>
      <c r="B154" s="18" t="s">
        <v>96</v>
      </c>
      <c r="C154" s="19">
        <v>1</v>
      </c>
      <c r="D154" s="20" t="s">
        <v>11</v>
      </c>
    </row>
    <row r="155" spans="1:4" s="1" customFormat="1">
      <c r="A155" s="17">
        <f>IF(C155&lt;&gt;"",1+MAX(A$5:A154),"")</f>
        <v>80</v>
      </c>
      <c r="B155" s="18" t="s">
        <v>97</v>
      </c>
      <c r="C155" s="19">
        <v>1</v>
      </c>
      <c r="D155" s="20" t="s">
        <v>11</v>
      </c>
    </row>
    <row r="156" spans="1:4" s="1" customFormat="1">
      <c r="A156" s="17">
        <f>IF(C156&lt;&gt;"",1+MAX(A$5:A155),"")</f>
        <v>81</v>
      </c>
      <c r="B156" s="18" t="s">
        <v>98</v>
      </c>
      <c r="C156" s="19">
        <v>4</v>
      </c>
      <c r="D156" s="20" t="s">
        <v>11</v>
      </c>
    </row>
    <row r="157" spans="1:4" s="1" customFormat="1">
      <c r="A157" s="17">
        <f>IF(C157&lt;&gt;"",1+MAX(A$5:A156),"")</f>
        <v>82</v>
      </c>
      <c r="B157" s="18" t="s">
        <v>99</v>
      </c>
      <c r="C157" s="19">
        <v>1</v>
      </c>
      <c r="D157" s="20" t="s">
        <v>11</v>
      </c>
    </row>
    <row r="158" spans="1:4" s="1" customFormat="1">
      <c r="A158" s="17">
        <f>IF(C158&lt;&gt;"",1+MAX(A$5:A157),"")</f>
        <v>83</v>
      </c>
      <c r="B158" s="18" t="s">
        <v>100</v>
      </c>
      <c r="C158" s="19">
        <v>1</v>
      </c>
      <c r="D158" s="20" t="s">
        <v>11</v>
      </c>
    </row>
    <row r="159" spans="1:4" s="1" customFormat="1">
      <c r="A159" s="17">
        <f>IF(C159&lt;&gt;"",1+MAX(A$5:A158),"")</f>
        <v>84</v>
      </c>
      <c r="B159" s="18" t="s">
        <v>101</v>
      </c>
      <c r="C159" s="19">
        <v>1</v>
      </c>
      <c r="D159" s="20" t="s">
        <v>11</v>
      </c>
    </row>
    <row r="160" spans="1:4" s="1" customFormat="1">
      <c r="A160" s="17">
        <f>IF(C160&lt;&gt;"",1+MAX(A$5:A159),"")</f>
        <v>85</v>
      </c>
      <c r="B160" s="18" t="s">
        <v>102</v>
      </c>
      <c r="C160" s="19">
        <v>1</v>
      </c>
      <c r="D160" s="20" t="s">
        <v>11</v>
      </c>
    </row>
    <row r="161" spans="1:4" s="1" customFormat="1">
      <c r="A161" s="17">
        <f>IF(C161&lt;&gt;"",1+MAX(A$5:A160),"")</f>
        <v>86</v>
      </c>
      <c r="B161" s="18" t="s">
        <v>103</v>
      </c>
      <c r="C161" s="19">
        <v>2</v>
      </c>
      <c r="D161" s="20" t="s">
        <v>11</v>
      </c>
    </row>
    <row r="162" spans="1:4" s="1" customFormat="1">
      <c r="A162" s="17">
        <f>IF(C162&lt;&gt;"",1+MAX(A$5:A161),"")</f>
        <v>87</v>
      </c>
      <c r="B162" s="18" t="s">
        <v>104</v>
      </c>
      <c r="C162" s="19">
        <v>1</v>
      </c>
      <c r="D162" s="20" t="s">
        <v>11</v>
      </c>
    </row>
    <row r="163" spans="1:4" s="1" customFormat="1">
      <c r="A163" s="17">
        <f>IF(C163&lt;&gt;"",1+MAX(A$5:A162),"")</f>
        <v>88</v>
      </c>
      <c r="B163" s="18" t="s">
        <v>105</v>
      </c>
      <c r="C163" s="19">
        <v>16</v>
      </c>
      <c r="D163" s="20" t="s">
        <v>11</v>
      </c>
    </row>
    <row r="164" spans="1:4" s="1" customFormat="1">
      <c r="A164" s="17">
        <f>IF(C164&lt;&gt;"",1+MAX(A$5:A163),"")</f>
        <v>89</v>
      </c>
      <c r="B164" s="18" t="s">
        <v>106</v>
      </c>
      <c r="C164" s="19">
        <v>2</v>
      </c>
      <c r="D164" s="20" t="s">
        <v>11</v>
      </c>
    </row>
    <row r="165" spans="1:4" s="1" customFormat="1">
      <c r="A165" s="17">
        <f>IF(C165&lt;&gt;"",1+MAX(A$5:A164),"")</f>
        <v>90</v>
      </c>
      <c r="B165" s="18" t="s">
        <v>107</v>
      </c>
      <c r="C165" s="19">
        <v>1</v>
      </c>
      <c r="D165" s="20" t="s">
        <v>11</v>
      </c>
    </row>
    <row r="166" spans="1:4" s="1" customFormat="1">
      <c r="A166" s="17">
        <f>IF(C166&lt;&gt;"",1+MAX(A$5:A165),"")</f>
        <v>91</v>
      </c>
      <c r="B166" s="18" t="s">
        <v>108</v>
      </c>
      <c r="C166" s="19">
        <v>2</v>
      </c>
      <c r="D166" s="20" t="s">
        <v>11</v>
      </c>
    </row>
    <row r="167" spans="1:4" s="1" customFormat="1">
      <c r="A167" s="17" t="str">
        <f>IF(C167&lt;&gt;"",1+MAX(A$5:A166),"")</f>
        <v/>
      </c>
      <c r="B167" s="18"/>
      <c r="C167" s="19"/>
      <c r="D167" s="22"/>
    </row>
    <row r="168" spans="1:4" s="2" customFormat="1">
      <c r="A168" s="17" t="str">
        <f>IF(C168&lt;&gt;"",1+MAX(A$5:A167),"")</f>
        <v/>
      </c>
      <c r="B168" s="23" t="s">
        <v>109</v>
      </c>
      <c r="C168" s="19"/>
      <c r="D168" s="26"/>
    </row>
    <row r="169" spans="1:4" s="1" customFormat="1">
      <c r="A169" s="17" t="str">
        <f>IF(C169&lt;&gt;"",1+MAX(A$5:A168),"")</f>
        <v/>
      </c>
      <c r="B169" s="27" t="s">
        <v>110</v>
      </c>
      <c r="C169" s="19"/>
      <c r="D169" s="22"/>
    </row>
    <row r="170" spans="1:4" s="1" customFormat="1">
      <c r="A170" s="17">
        <f>IF(C170&lt;&gt;"",1+MAX(A$5:A169),"")</f>
        <v>92</v>
      </c>
      <c r="B170" s="18" t="s">
        <v>111</v>
      </c>
      <c r="C170" s="19">
        <v>6</v>
      </c>
      <c r="D170" s="20" t="s">
        <v>11</v>
      </c>
    </row>
    <row r="171" spans="1:4" s="1" customFormat="1">
      <c r="A171" s="17">
        <f>IF(C171&lt;&gt;"",1+MAX(A$5:A170),"")</f>
        <v>93</v>
      </c>
      <c r="B171" s="18" t="s">
        <v>112</v>
      </c>
      <c r="C171" s="19">
        <v>5</v>
      </c>
      <c r="D171" s="20" t="s">
        <v>11</v>
      </c>
    </row>
    <row r="172" spans="1:4" s="1" customFormat="1">
      <c r="A172" s="17">
        <f>IF(C172&lt;&gt;"",1+MAX(A$5:A171),"")</f>
        <v>94</v>
      </c>
      <c r="B172" s="18" t="s">
        <v>113</v>
      </c>
      <c r="C172" s="19">
        <v>2</v>
      </c>
      <c r="D172" s="20" t="s">
        <v>11</v>
      </c>
    </row>
    <row r="173" spans="1:4" s="1" customFormat="1" ht="28.8">
      <c r="A173" s="17">
        <f>IF(C173&lt;&gt;"",1+MAX(A$5:A172),"")</f>
        <v>95</v>
      </c>
      <c r="B173" s="18" t="s">
        <v>114</v>
      </c>
      <c r="C173" s="19">
        <v>3933</v>
      </c>
      <c r="D173" s="20" t="s">
        <v>115</v>
      </c>
    </row>
    <row r="174" spans="1:4" s="1" customFormat="1">
      <c r="A174" s="17" t="str">
        <f>IF(C174&lt;&gt;"",1+MAX(A$5:A173),"")</f>
        <v/>
      </c>
      <c r="B174" s="18"/>
      <c r="C174" s="19"/>
      <c r="D174" s="22"/>
    </row>
    <row r="175" spans="1:4" s="1" customFormat="1">
      <c r="A175" s="17" t="str">
        <f>IF(C175&lt;&gt;"",1+MAX(A$5:A174),"")</f>
        <v/>
      </c>
      <c r="B175" s="24" t="s">
        <v>116</v>
      </c>
      <c r="C175" s="15"/>
      <c r="D175" s="22"/>
    </row>
    <row r="176" spans="1:4" s="1" customFormat="1">
      <c r="A176" s="17">
        <f>IF(C176&lt;&gt;"",1+MAX(A$5:A175),"")</f>
        <v>96</v>
      </c>
      <c r="B176" s="18" t="s">
        <v>117</v>
      </c>
      <c r="C176" s="19">
        <v>2</v>
      </c>
      <c r="D176" s="20" t="s">
        <v>11</v>
      </c>
    </row>
    <row r="177" spans="1:4" s="1" customFormat="1">
      <c r="A177" s="17">
        <f>IF(C177&lt;&gt;"",1+MAX(A$5:A176),"")</f>
        <v>97</v>
      </c>
      <c r="B177" s="18" t="s">
        <v>118</v>
      </c>
      <c r="C177" s="19">
        <v>1</v>
      </c>
      <c r="D177" s="20" t="s">
        <v>11</v>
      </c>
    </row>
    <row r="178" spans="1:4" s="1" customFormat="1">
      <c r="A178" s="17">
        <f>IF(C178&lt;&gt;"",1+MAX(A$5:A177),"")</f>
        <v>98</v>
      </c>
      <c r="B178" s="18" t="s">
        <v>119</v>
      </c>
      <c r="C178" s="19">
        <v>2</v>
      </c>
      <c r="D178" s="20" t="s">
        <v>11</v>
      </c>
    </row>
    <row r="179" spans="1:4" s="1" customFormat="1">
      <c r="A179" s="17">
        <f>IF(C179&lt;&gt;"",1+MAX(A$5:A178),"")</f>
        <v>99</v>
      </c>
      <c r="B179" s="18" t="s">
        <v>120</v>
      </c>
      <c r="C179" s="19">
        <v>13</v>
      </c>
      <c r="D179" s="20" t="s">
        <v>11</v>
      </c>
    </row>
    <row r="180" spans="1:4" s="1" customFormat="1">
      <c r="A180" s="17">
        <f>IF(C180&lt;&gt;"",1+MAX(A$5:A179),"")</f>
        <v>100</v>
      </c>
      <c r="B180" s="18" t="s">
        <v>121</v>
      </c>
      <c r="C180" s="19">
        <v>5</v>
      </c>
      <c r="D180" s="20" t="s">
        <v>11</v>
      </c>
    </row>
    <row r="181" spans="1:4" s="1" customFormat="1">
      <c r="A181" s="17" t="str">
        <f>IF(C181&lt;&gt;"",1+MAX(A$5:A180),"")</f>
        <v/>
      </c>
      <c r="B181" s="18"/>
      <c r="C181" s="19"/>
      <c r="D181" s="22"/>
    </row>
    <row r="182" spans="1:4" s="1" customFormat="1">
      <c r="A182" s="17" t="str">
        <f>IF(C182&lt;&gt;"",1+MAX(A$5:A181),"")</f>
        <v/>
      </c>
      <c r="B182" s="23" t="s">
        <v>122</v>
      </c>
      <c r="C182" s="19"/>
      <c r="D182" s="22"/>
    </row>
    <row r="183" spans="1:4" s="1" customFormat="1">
      <c r="A183" s="17">
        <f>IF(C183&lt;&gt;"",1+MAX(A$5:A182),"")</f>
        <v>101</v>
      </c>
      <c r="B183" s="18" t="s">
        <v>123</v>
      </c>
      <c r="C183" s="19">
        <v>3</v>
      </c>
      <c r="D183" s="20" t="s">
        <v>11</v>
      </c>
    </row>
    <row r="184" spans="1:4" s="1" customFormat="1">
      <c r="A184" s="17">
        <f>IF(C184&lt;&gt;"",1+MAX(A$5:A183),"")</f>
        <v>102</v>
      </c>
      <c r="B184" s="18" t="s">
        <v>124</v>
      </c>
      <c r="C184" s="19">
        <v>4</v>
      </c>
      <c r="D184" s="20" t="s">
        <v>11</v>
      </c>
    </row>
    <row r="185" spans="1:4" s="1" customFormat="1" ht="28.8">
      <c r="A185" s="17">
        <f>IF(C185&lt;&gt;"",1+MAX(A$5:A184),"")</f>
        <v>103</v>
      </c>
      <c r="B185" s="18" t="s">
        <v>125</v>
      </c>
      <c r="C185" s="19">
        <v>1</v>
      </c>
      <c r="D185" s="20" t="s">
        <v>11</v>
      </c>
    </row>
    <row r="186" spans="1:4" s="1" customFormat="1">
      <c r="A186" s="17">
        <f>IF(C186&lt;&gt;"",1+MAX(A$5:A185),"")</f>
        <v>104</v>
      </c>
      <c r="B186" s="18" t="s">
        <v>126</v>
      </c>
      <c r="C186" s="19">
        <v>4</v>
      </c>
      <c r="D186" s="20" t="s">
        <v>11</v>
      </c>
    </row>
    <row r="187" spans="1:4" s="1" customFormat="1" ht="28.8">
      <c r="A187" s="17">
        <f>IF(C187&lt;&gt;"",1+MAX(A$5:A186),"")</f>
        <v>105</v>
      </c>
      <c r="B187" s="18" t="s">
        <v>127</v>
      </c>
      <c r="C187" s="19">
        <v>6</v>
      </c>
      <c r="D187" s="20" t="s">
        <v>11</v>
      </c>
    </row>
    <row r="188" spans="1:4" s="1" customFormat="1">
      <c r="A188" s="17">
        <f>IF(C188&lt;&gt;"",1+MAX(A$5:A187),"")</f>
        <v>106</v>
      </c>
      <c r="B188" s="18" t="s">
        <v>128</v>
      </c>
      <c r="C188" s="19">
        <v>1</v>
      </c>
      <c r="D188" s="20" t="s">
        <v>11</v>
      </c>
    </row>
    <row r="189" spans="1:4" s="1" customFormat="1">
      <c r="A189" s="17">
        <f>IF(C189&lt;&gt;"",1+MAX(A$5:A188),"")</f>
        <v>107</v>
      </c>
      <c r="B189" s="18" t="s">
        <v>129</v>
      </c>
      <c r="C189" s="19">
        <v>10</v>
      </c>
      <c r="D189" s="20" t="s">
        <v>11</v>
      </c>
    </row>
    <row r="190" spans="1:4" s="1" customFormat="1">
      <c r="A190" s="17">
        <f>IF(C190&lt;&gt;"",1+MAX(A$5:A189),"")</f>
        <v>108</v>
      </c>
      <c r="B190" s="18" t="s">
        <v>130</v>
      </c>
      <c r="C190" s="19">
        <v>6</v>
      </c>
      <c r="D190" s="20" t="s">
        <v>11</v>
      </c>
    </row>
    <row r="191" spans="1:4" s="1" customFormat="1">
      <c r="A191" s="17">
        <f>IF(C191&lt;&gt;"",1+MAX(A$5:A190),"")</f>
        <v>109</v>
      </c>
      <c r="B191" s="18" t="s">
        <v>131</v>
      </c>
      <c r="C191" s="19">
        <v>4</v>
      </c>
      <c r="D191" s="20" t="s">
        <v>11</v>
      </c>
    </row>
    <row r="192" spans="1:4" s="1" customFormat="1">
      <c r="A192" s="17">
        <f>IF(C192&lt;&gt;"",1+MAX(A$5:A191),"")</f>
        <v>110</v>
      </c>
      <c r="B192" s="18" t="s">
        <v>132</v>
      </c>
      <c r="C192" s="19">
        <v>4</v>
      </c>
      <c r="D192" s="20" t="s">
        <v>11</v>
      </c>
    </row>
    <row r="193" spans="1:4" s="1" customFormat="1">
      <c r="A193" s="17">
        <f>IF(C193&lt;&gt;"",1+MAX(A$5:A192),"")</f>
        <v>111</v>
      </c>
      <c r="B193" s="18" t="s">
        <v>133</v>
      </c>
      <c r="C193" s="19">
        <v>5</v>
      </c>
      <c r="D193" s="20" t="s">
        <v>11</v>
      </c>
    </row>
    <row r="194" spans="1:4" s="1" customFormat="1">
      <c r="A194" s="17">
        <f>IF(C194&lt;&gt;"",1+MAX(A$5:A193),"")</f>
        <v>112</v>
      </c>
      <c r="B194" s="18" t="s">
        <v>134</v>
      </c>
      <c r="C194" s="19">
        <v>6</v>
      </c>
      <c r="D194" s="20" t="s">
        <v>11</v>
      </c>
    </row>
    <row r="195" spans="1:4" s="1" customFormat="1">
      <c r="A195" s="17">
        <f>IF(C195&lt;&gt;"",1+MAX(A$5:A194),"")</f>
        <v>113</v>
      </c>
      <c r="B195" s="18" t="s">
        <v>135</v>
      </c>
      <c r="C195" s="19">
        <v>1</v>
      </c>
      <c r="D195" s="20" t="s">
        <v>11</v>
      </c>
    </row>
    <row r="196" spans="1:4" s="1" customFormat="1">
      <c r="A196" s="17" t="str">
        <f>IF(C196&lt;&gt;"",1+MAX(A$5:A195),"")</f>
        <v/>
      </c>
      <c r="B196" s="18"/>
      <c r="C196" s="19"/>
      <c r="D196" s="22"/>
    </row>
    <row r="197" spans="1:4" s="1" customFormat="1">
      <c r="A197" s="17" t="str">
        <f>IF(C197&lt;&gt;"",1+MAX(A$5:A196),"")</f>
        <v/>
      </c>
      <c r="B197" s="23" t="s">
        <v>136</v>
      </c>
      <c r="C197" s="19"/>
      <c r="D197" s="22"/>
    </row>
    <row r="198" spans="1:4" s="1" customFormat="1">
      <c r="A198" s="17">
        <f>IF(C198&lt;&gt;"",1+MAX(A$5:A197),"")</f>
        <v>114</v>
      </c>
      <c r="B198" s="18" t="s">
        <v>137</v>
      </c>
      <c r="C198" s="19">
        <v>1</v>
      </c>
      <c r="D198" s="20" t="s">
        <v>11</v>
      </c>
    </row>
    <row r="199" spans="1:4" s="1" customFormat="1">
      <c r="A199" s="17">
        <f>IF(C199&lt;&gt;"",1+MAX(A$5:A198),"")</f>
        <v>115</v>
      </c>
      <c r="B199" s="18" t="s">
        <v>138</v>
      </c>
      <c r="C199" s="19">
        <v>1</v>
      </c>
      <c r="D199" s="20" t="s">
        <v>11</v>
      </c>
    </row>
    <row r="200" spans="1:4" s="1" customFormat="1">
      <c r="A200" s="17">
        <f>IF(C200&lt;&gt;"",1+MAX(A$5:A199),"")</f>
        <v>116</v>
      </c>
      <c r="B200" s="18" t="s">
        <v>139</v>
      </c>
      <c r="C200" s="19">
        <v>1</v>
      </c>
      <c r="D200" s="20" t="s">
        <v>11</v>
      </c>
    </row>
    <row r="201" spans="1:4" s="1" customFormat="1">
      <c r="A201" s="17">
        <f>IF(C201&lt;&gt;"",1+MAX(A$5:A200),"")</f>
        <v>117</v>
      </c>
      <c r="B201" s="18" t="s">
        <v>140</v>
      </c>
      <c r="C201" s="19">
        <v>1</v>
      </c>
      <c r="D201" s="20" t="s">
        <v>11</v>
      </c>
    </row>
    <row r="202" spans="1:4" s="1" customFormat="1">
      <c r="A202" s="17">
        <f>IF(C202&lt;&gt;"",1+MAX(A$5:A201),"")</f>
        <v>118</v>
      </c>
      <c r="B202" s="18" t="s">
        <v>141</v>
      </c>
      <c r="C202" s="19">
        <v>8</v>
      </c>
      <c r="D202" s="20" t="s">
        <v>11</v>
      </c>
    </row>
    <row r="203" spans="1:4" s="1" customFormat="1">
      <c r="A203" s="17">
        <f>IF(C203&lt;&gt;"",1+MAX(A$5:A202),"")</f>
        <v>119</v>
      </c>
      <c r="B203" s="18" t="s">
        <v>142</v>
      </c>
      <c r="C203" s="19">
        <v>4</v>
      </c>
      <c r="D203" s="20" t="s">
        <v>11</v>
      </c>
    </row>
    <row r="204" spans="1:4" s="1" customFormat="1">
      <c r="A204" s="17" t="str">
        <f>IF(C204&lt;&gt;"",1+MAX(A$5:A203),"")</f>
        <v/>
      </c>
      <c r="B204" s="18"/>
      <c r="C204" s="19"/>
      <c r="D204" s="22"/>
    </row>
    <row r="205" spans="1:4" s="1" customFormat="1" ht="28.8">
      <c r="A205" s="56" t="str">
        <f>IF(C205&lt;&gt;"",1+MAX(A$5:A204),"")</f>
        <v/>
      </c>
      <c r="B205" s="28" t="s">
        <v>143</v>
      </c>
      <c r="C205" s="19"/>
      <c r="D205" s="22"/>
    </row>
    <row r="206" spans="1:4" s="1" customFormat="1">
      <c r="A206" s="56">
        <f>IF(C206&lt;&gt;"",1+MAX(A$5:A205),"")</f>
        <v>120</v>
      </c>
      <c r="B206" s="18" t="s">
        <v>144</v>
      </c>
      <c r="C206" s="19">
        <v>3</v>
      </c>
      <c r="D206" s="20" t="s">
        <v>11</v>
      </c>
    </row>
    <row r="207" spans="1:4" s="1" customFormat="1">
      <c r="A207" s="56">
        <f>IF(C207&lt;&gt;"",1+MAX(A$5:A206),"")</f>
        <v>121</v>
      </c>
      <c r="B207" s="18" t="s">
        <v>145</v>
      </c>
      <c r="C207" s="19">
        <v>3</v>
      </c>
      <c r="D207" s="20" t="s">
        <v>11</v>
      </c>
    </row>
    <row r="208" spans="1:4" s="1" customFormat="1">
      <c r="A208" s="56" t="str">
        <f>IF(C208&lt;&gt;"",1+MAX(A$5:A207),"")</f>
        <v/>
      </c>
      <c r="B208" s="18"/>
      <c r="C208" s="19"/>
      <c r="D208" s="20"/>
    </row>
    <row r="209" spans="1:9" s="1" customFormat="1">
      <c r="A209" s="56" t="str">
        <f>IF(C209&lt;&gt;"",1+MAX(A$5:A208),"")</f>
        <v/>
      </c>
      <c r="B209" s="24" t="s">
        <v>146</v>
      </c>
      <c r="C209" s="19"/>
      <c r="D209" s="20"/>
    </row>
    <row r="210" spans="1:9" s="1" customFormat="1">
      <c r="A210" s="56">
        <f>IF(C210&lt;&gt;"",1+MAX(A$5:A209),"")</f>
        <v>122</v>
      </c>
      <c r="B210" s="25" t="s">
        <v>45</v>
      </c>
      <c r="C210" s="19">
        <v>11</v>
      </c>
      <c r="D210" s="20" t="s">
        <v>24</v>
      </c>
    </row>
    <row r="211" spans="1:9" s="48" customFormat="1">
      <c r="A211" s="57"/>
      <c r="B211" s="52" t="s">
        <v>154</v>
      </c>
      <c r="C211" s="45">
        <v>1</v>
      </c>
      <c r="D211" s="46" t="s">
        <v>11</v>
      </c>
      <c r="E211" s="47"/>
      <c r="F211" s="47"/>
      <c r="H211" s="53"/>
      <c r="I211" s="54"/>
    </row>
    <row r="212" spans="1:9" s="48" customFormat="1">
      <c r="A212" s="57"/>
      <c r="B212" s="52" t="s">
        <v>155</v>
      </c>
      <c r="C212" s="45">
        <v>2</v>
      </c>
      <c r="D212" s="46" t="s">
        <v>11</v>
      </c>
      <c r="E212" s="47"/>
      <c r="F212" s="47"/>
      <c r="H212" s="49"/>
      <c r="I212" s="50"/>
    </row>
    <row r="213" spans="1:9" s="48" customFormat="1">
      <c r="A213" s="57"/>
      <c r="B213" s="52" t="s">
        <v>156</v>
      </c>
      <c r="C213" s="45">
        <v>2</v>
      </c>
      <c r="D213" s="46" t="s">
        <v>11</v>
      </c>
      <c r="E213" s="47"/>
      <c r="F213" s="47"/>
      <c r="H213" s="49"/>
      <c r="I213" s="55"/>
    </row>
    <row r="214" spans="1:9" s="1" customFormat="1">
      <c r="A214" s="56">
        <f>IF(C214&lt;&gt;"",1+MAX(A$5:A210),"")</f>
        <v>123</v>
      </c>
      <c r="B214" s="25" t="s">
        <v>50</v>
      </c>
      <c r="C214" s="19">
        <v>49.500000000000007</v>
      </c>
      <c r="D214" s="20" t="s">
        <v>24</v>
      </c>
    </row>
    <row r="215" spans="1:9" s="48" customFormat="1">
      <c r="A215" s="57"/>
      <c r="B215" s="52" t="s">
        <v>157</v>
      </c>
      <c r="C215" s="45">
        <v>1</v>
      </c>
      <c r="D215" s="46" t="s">
        <v>11</v>
      </c>
      <c r="E215" s="47"/>
      <c r="F215" s="47"/>
      <c r="H215" s="53"/>
      <c r="I215" s="54"/>
    </row>
    <row r="216" spans="1:9" s="48" customFormat="1">
      <c r="A216" s="57"/>
      <c r="B216" s="52" t="s">
        <v>158</v>
      </c>
      <c r="C216" s="45">
        <v>5</v>
      </c>
      <c r="D216" s="46" t="s">
        <v>11</v>
      </c>
      <c r="E216" s="47"/>
      <c r="F216" s="47"/>
      <c r="H216" s="49"/>
      <c r="I216" s="50"/>
    </row>
    <row r="217" spans="1:9" s="48" customFormat="1">
      <c r="A217" s="57"/>
      <c r="B217" s="52" t="s">
        <v>159</v>
      </c>
      <c r="C217" s="45">
        <v>5</v>
      </c>
      <c r="D217" s="46" t="s">
        <v>11</v>
      </c>
      <c r="E217" s="47"/>
      <c r="F217" s="47"/>
      <c r="H217" s="49"/>
      <c r="I217" s="55"/>
    </row>
    <row r="218" spans="1:9" s="42" customFormat="1">
      <c r="A218" s="58"/>
      <c r="B218" s="40" t="s">
        <v>150</v>
      </c>
      <c r="C218" s="41"/>
      <c r="D218" s="39"/>
    </row>
    <row r="219" spans="1:9" s="48" customFormat="1">
      <c r="A219" s="59"/>
      <c r="B219" s="44" t="s">
        <v>151</v>
      </c>
      <c r="C219" s="45">
        <v>4</v>
      </c>
      <c r="D219" s="46" t="s">
        <v>11</v>
      </c>
      <c r="E219" s="47"/>
      <c r="F219" s="47"/>
      <c r="H219" s="49"/>
      <c r="I219" s="50"/>
    </row>
    <row r="220" spans="1:9" s="48" customFormat="1">
      <c r="A220" s="59"/>
      <c r="B220" s="44" t="s">
        <v>152</v>
      </c>
      <c r="C220" s="45">
        <v>4</v>
      </c>
      <c r="D220" s="46" t="s">
        <v>11</v>
      </c>
      <c r="E220" s="47"/>
      <c r="F220" s="47"/>
      <c r="H220" s="49"/>
      <c r="I220" s="50"/>
    </row>
    <row r="221" spans="1:9" s="48" customFormat="1">
      <c r="A221" s="57"/>
      <c r="B221" s="52" t="s">
        <v>153</v>
      </c>
      <c r="C221" s="45">
        <v>1</v>
      </c>
      <c r="D221" s="46" t="s">
        <v>11</v>
      </c>
      <c r="E221" s="47"/>
      <c r="F221" s="47"/>
      <c r="H221" s="49"/>
      <c r="I221" s="50"/>
    </row>
    <row r="222" spans="1:9" s="1" customFormat="1">
      <c r="A222" s="56">
        <f>IF(C222&lt;&gt;"",1+MAX(A$5:A214),"")</f>
        <v>124</v>
      </c>
      <c r="B222" s="18" t="s">
        <v>147</v>
      </c>
      <c r="C222" s="19">
        <v>1373.46</v>
      </c>
      <c r="D222" s="20" t="s">
        <v>24</v>
      </c>
    </row>
    <row r="223" spans="1:9" s="1" customFormat="1">
      <c r="A223" s="56" t="str">
        <f>IF(C223&lt;&gt;"",1+MAX(A$5:A222),"")</f>
        <v/>
      </c>
      <c r="B223" s="18"/>
      <c r="C223" s="19"/>
      <c r="D223" s="22"/>
    </row>
    <row r="224" spans="1:9" s="34" customFormat="1">
      <c r="A224" s="56" t="str">
        <f>IF(C224&lt;&gt;"",1+MAX(A$5:A223),"")</f>
        <v/>
      </c>
      <c r="B224" s="35"/>
      <c r="C224" s="36"/>
      <c r="D224" s="37"/>
    </row>
  </sheetData>
  <printOptions horizontalCentered="1" verticalCentered="1"/>
  <pageMargins left="0.7" right="0.7" top="0.75" bottom="0.75" header="0.3" footer="0.3"/>
  <pageSetup scale="1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166F3-3E18-41B2-8656-61BD4A10AF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Chart1</vt:lpstr>
      <vt:lpstr>Sheet1</vt:lpstr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Marks</dc:creator>
  <cp:lastModifiedBy>Chand Shahzad</cp:lastModifiedBy>
  <cp:lastPrinted>2016-11-10T19:38:00Z</cp:lastPrinted>
  <dcterms:created xsi:type="dcterms:W3CDTF">2004-05-05T14:08:00Z</dcterms:created>
  <dcterms:modified xsi:type="dcterms:W3CDTF">2026-03-06T20:38:31Z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{75B166F3-3E18-41B2-8656-61BD4A10AFFD}</vt:lpwstr>
  </property>
  <property fmtid="{D5CDD505-2E9C-101B-9397-08002B2CF9AE}" pid="6" name="ICV">
    <vt:lpwstr>6969DE9582EE4DD3B8C50F21174C5518_12</vt:lpwstr>
  </property>
  <property fmtid="{D5CDD505-2E9C-101B-9397-08002B2CF9AE}" pid="7" name="KSOProductBuildVer">
    <vt:lpwstr>1033-12.2.0.23196</vt:lpwstr>
  </property>
</Properties>
</file>